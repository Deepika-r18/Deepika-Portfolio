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EPIKA\Desktop\class\Excel\"/>
    </mc:Choice>
  </mc:AlternateContent>
  <xr:revisionPtr revIDLastSave="0" documentId="13_ncr:1_{43363DAC-76CB-4233-B8E9-B46C94A6634D}" xr6:coauthVersionLast="47" xr6:coauthVersionMax="47" xr10:uidLastSave="{00000000-0000-0000-0000-000000000000}"/>
  <bookViews>
    <workbookView xWindow="-108" yWindow="-108" windowWidth="23256" windowHeight="12456" activeTab="2" xr2:uid="{13CBFA34-51E5-4A85-94E2-AC461D609263}"/>
  </bookViews>
  <sheets>
    <sheet name="Dataset" sheetId="1" r:id="rId1"/>
    <sheet name="Pivot table " sheetId="2" r:id="rId2"/>
    <sheet name="Dashboard" sheetId="3" r:id="rId3"/>
  </sheets>
  <definedNames>
    <definedName name="Slicer_Product">#N/A</definedName>
    <definedName name="Slicer_Region">#N/A</definedName>
    <definedName name="Slicer_Sales_Person">#N/A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 l="1"/>
  <c r="K6" i="1"/>
  <c r="K4" i="1"/>
  <c r="K2" i="1"/>
  <c r="I43" i="1"/>
  <c r="I44" i="1"/>
  <c r="I45" i="1"/>
  <c r="I46" i="1"/>
  <c r="I47" i="1"/>
  <c r="I48" i="1"/>
  <c r="I49" i="1"/>
  <c r="I50" i="1"/>
  <c r="I51" i="1"/>
  <c r="I28" i="1"/>
  <c r="I29" i="1"/>
  <c r="I30" i="1"/>
  <c r="I31" i="1"/>
  <c r="I32" i="1"/>
  <c r="I33" i="1"/>
  <c r="I34" i="1"/>
  <c r="I35" i="1"/>
  <c r="I36" i="1"/>
  <c r="I37" i="1"/>
  <c r="I38" i="1"/>
  <c r="I39" i="1"/>
  <c r="I40" i="1"/>
  <c r="I41" i="1"/>
  <c r="I42" i="1"/>
  <c r="I3" i="1"/>
  <c r="I4" i="1"/>
  <c r="I5" i="1"/>
  <c r="I6" i="1"/>
  <c r="I7" i="1"/>
  <c r="I8" i="1"/>
  <c r="I9" i="1"/>
  <c r="I10" i="1"/>
  <c r="I11" i="1"/>
  <c r="I12" i="1"/>
  <c r="I13" i="1"/>
  <c r="I14" i="1"/>
  <c r="I15" i="1"/>
  <c r="I16" i="1"/>
  <c r="I17" i="1"/>
  <c r="I18" i="1"/>
  <c r="I19" i="1"/>
  <c r="I20" i="1"/>
  <c r="I21" i="1"/>
  <c r="I22" i="1"/>
  <c r="I23" i="1"/>
  <c r="I24" i="1"/>
  <c r="I25" i="1"/>
  <c r="I26" i="1"/>
  <c r="I27" i="1"/>
  <c r="I2" i="1"/>
</calcChain>
</file>

<file path=xl/sharedStrings.xml><?xml version="1.0" encoding="utf-8"?>
<sst xmlns="http://schemas.openxmlformats.org/spreadsheetml/2006/main" count="232" uniqueCount="61">
  <si>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</si>
  <si>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</si>
  <si>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</si>
  <si>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</si>
  <si>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</si>
  <si>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</si>
  <si>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</si>
  <si>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</si>
  <si>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</si>
  <si>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</si>
  <si>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</si>
  <si>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</si>
  <si>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</si>
  <si>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</si>
  <si>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</si>
  <si>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</si>
  <si>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</si>
  <si>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</si>
  <si>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</si>
  <si>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</si>
  <si>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</si>
  <si>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</si>
  <si>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</si>
  <si>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</si>
  <si>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</si>
  <si>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</si>
  <si>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</si>
  <si>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</si>
  <si>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</si>
  <si>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</si>
  <si>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</si>
  <si>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</si>
  <si>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</si>
  <si>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</si>
  <si>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2-19-2021</t>
  </si>
  <si>
    <t>9-23-2021</t>
  </si>
  <si>
    <t>1-27-2021</t>
  </si>
  <si>
    <t>9-30-2021</t>
  </si>
  <si>
    <t>7-27-2021</t>
  </si>
  <si>
    <t>6-15-2021</t>
  </si>
  <si>
    <t>8-13-2021</t>
  </si>
  <si>
    <t>8-27-2020</t>
  </si>
  <si>
    <t>12-21-2021</t>
  </si>
  <si>
    <t>8-30-2021</t>
  </si>
  <si>
    <t>5-20-2020</t>
  </si>
  <si>
    <t>9-13-2021</t>
  </si>
  <si>
    <t>10-27-2021</t>
  </si>
  <si>
    <t>12-22-2020</t>
  </si>
  <si>
    <t>7-28-2021</t>
  </si>
  <si>
    <t>9-29-2020</t>
  </si>
  <si>
    <t>10-22-2020</t>
  </si>
  <si>
    <t>5-19-2020</t>
  </si>
  <si>
    <t>8-26-2020</t>
  </si>
  <si>
    <t>4-13-2021</t>
  </si>
  <si>
    <t>1-15-2021</t>
  </si>
  <si>
    <t>11-17-2021</t>
  </si>
  <si>
    <t>12-28-2020</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</si>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</sst>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72" formatCode="_ &quot;₹&quot;\ * #,##0_ ;_ &quot;₹&quot;\ * \-#,##0_ ;_ &quot;₹&quot;\ * &quot;-&quot;??_ ;_ @_ "/>
    <numFmt numFmtId="177" formatCode="_ * #,##0_ ;_ * \-#,##0_ ;_ * &quot;-&quot;??_ ;_ @_ "/>
  </numFmts>
  <fonts count="5" x14ac:knownFonts="1">
    <font>
      <sz val="11"/>
      <color theme="1"/>
      <name val="Calibri"/>
      <family val="2"/>
      <scheme val="minor"/>
    </font>
    <font>
      <sz val="11"/>
      <color theme="1"/>
      <name val="Calibri"/>
      <family val="2"/>
      <scheme val="minor"/>
    </font>
    <font>
      <sz val="11"/>
      <color rgb="FFFFFFFF"/>
      <name val="Aptos Narrow"/>
      <family val="2"/>
    </font>
    <font>
      <sz val="11"/>
      <color theme="1"/>
      <name val="Aptos Narrow"/>
      <family val="2"/>
    </font>
    <font>
      <sz val="8"/>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7" tint="-0.249977111117893"/>
        <bgColor indexed="64"/>
      </patternFill>
    </fill>
  </fills>
  <borders count="5">
    <border>
      <left/>
      <right/>
      <top/>
      <bottom/>
      <diagonal/>
    </border>
    <border>
      <left style="medium">
        <color rgb="FFCCCCCC"/>
      </left>
      <right style="medium">
        <color rgb="FFCCCCCC"/>
      </right>
      <top style="medium">
        <color rgb="FFCCCCCC"/>
      </top>
      <bottom style="thick">
        <color rgb="FFFFC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thick">
        <color rgb="FFFFC000"/>
      </bottom>
      <diagonal/>
    </border>
    <border>
      <left/>
      <right style="medium">
        <color rgb="FFCCCCCC"/>
      </right>
      <top style="medium">
        <color rgb="FFCCCCCC"/>
      </top>
      <bottom style="medium">
        <color rgb="FFCCCCCC"/>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2" fillId="2" borderId="1" xfId="0" applyFont="1" applyFill="1" applyBorder="1" applyAlignment="1">
      <alignment horizontal="center" vertical="center" wrapText="1"/>
    </xf>
    <xf numFmtId="0" fontId="3" fillId="0" borderId="2" xfId="0" applyFont="1" applyBorder="1" applyAlignment="1">
      <alignment wrapText="1"/>
    </xf>
    <xf numFmtId="0" fontId="0" fillId="0" borderId="0" xfId="0" applyNumberFormat="1"/>
    <xf numFmtId="172" fontId="2" fillId="2" borderId="0" xfId="0" applyNumberFormat="1" applyFont="1" applyFill="1" applyBorder="1" applyAlignment="1">
      <alignment horizontal="center" vertical="center" wrapText="1"/>
    </xf>
    <xf numFmtId="172" fontId="0" fillId="0" borderId="0" xfId="0" applyNumberFormat="1"/>
    <xf numFmtId="0" fontId="0" fillId="0" borderId="0" xfId="0" applyAlignment="1">
      <alignment horizontal="center"/>
    </xf>
    <xf numFmtId="172" fontId="2" fillId="2" borderId="1" xfId="0" applyNumberFormat="1" applyFont="1" applyFill="1" applyBorder="1" applyAlignment="1">
      <alignment horizontal="center" vertical="center" wrapText="1"/>
    </xf>
    <xf numFmtId="0" fontId="2" fillId="3" borderId="0" xfId="0" applyFont="1" applyFill="1" applyBorder="1" applyAlignment="1">
      <alignment horizontal="center" vertical="center" wrapText="1"/>
    </xf>
    <xf numFmtId="0" fontId="3" fillId="0" borderId="2" xfId="0" applyNumberFormat="1" applyFont="1" applyBorder="1" applyAlignment="1">
      <alignment wrapText="1"/>
    </xf>
    <xf numFmtId="0" fontId="2" fillId="2" borderId="3" xfId="0" applyFont="1" applyFill="1" applyBorder="1" applyAlignment="1">
      <alignment horizontal="center" vertical="center" wrapText="1"/>
    </xf>
    <xf numFmtId="14" fontId="3" fillId="0" borderId="4" xfId="0" applyNumberFormat="1" applyFont="1" applyBorder="1" applyAlignment="1">
      <alignment horizontal="center" wrapText="1"/>
    </xf>
    <xf numFmtId="0" fontId="0" fillId="0" borderId="0" xfId="0" pivotButton="1"/>
    <xf numFmtId="0" fontId="0" fillId="0" borderId="0" xfId="0" applyAlignment="1">
      <alignment horizontal="left"/>
    </xf>
    <xf numFmtId="2" fontId="3" fillId="0" borderId="2" xfId="0" applyNumberFormat="1" applyFont="1" applyBorder="1" applyAlignment="1">
      <alignment horizontal="right" wrapText="1"/>
    </xf>
    <xf numFmtId="177" fontId="0" fillId="0" borderId="0" xfId="1" applyNumberFormat="1" applyFont="1" applyAlignment="1">
      <alignment horizontal="center"/>
    </xf>
  </cellXfs>
  <cellStyles count="2">
    <cellStyle name="Comma" xfId="1" builtinId="3"/>
    <cellStyle name="Normal" xfId="0" builtinId="0"/>
  </cellStyles>
  <dxfs count="13">
    <dxf>
      <numFmt numFmtId="172" formatCode="_ &quot;₹&quot;\ * #,##0_ ;_ &quot;₹&quot;\ * \-#,##0_ ;_ &quot;₹&quot;\ * &quot;-&quot;??_ ;_ @_ "/>
      <border outline="0">
        <left style="medium">
          <color rgb="FFCCCCCC"/>
        </left>
      </border>
    </dxf>
    <dxf>
      <font>
        <b val="0"/>
        <i val="0"/>
        <strike val="0"/>
        <condense val="0"/>
        <extend val="0"/>
        <outline val="0"/>
        <shadow val="0"/>
        <u val="none"/>
        <vertAlign val="baseline"/>
        <sz val="11"/>
        <color theme="1"/>
        <name val="Aptos Narrow"/>
        <family val="2"/>
        <scheme val="none"/>
      </font>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Aptos Narrow"/>
        <family val="2"/>
        <scheme val="none"/>
      </font>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Aptos Narrow"/>
        <family val="2"/>
        <scheme val="none"/>
      </font>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Aptos Narrow"/>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Aptos Narrow"/>
        <family val="2"/>
        <scheme val="none"/>
      </font>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numFmt numFmtId="19" formatCode="dd/mm/yyyy"/>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border>
    </dxf>
    <dxf>
      <font>
        <b val="0"/>
        <i val="0"/>
        <strike val="0"/>
        <condense val="0"/>
        <extend val="0"/>
        <outline val="0"/>
        <shadow val="0"/>
        <u val="none"/>
        <vertAlign val="baseline"/>
        <sz val="11"/>
        <color theme="1"/>
        <name val="Aptos Narrow"/>
        <family val="2"/>
        <scheme val="none"/>
      </font>
      <alignment horizontal="right" vertical="bottom" textRotation="0" wrapText="1" indent="0" justifyLastLine="0" shrinkToFit="0" readingOrder="0"/>
    </dxf>
    <dxf>
      <font>
        <b val="0"/>
        <i val="0"/>
        <strike val="0"/>
        <condense val="0"/>
        <extend val="0"/>
        <outline val="0"/>
        <shadow val="0"/>
        <u val="none"/>
        <vertAlign val="baseline"/>
        <sz val="11"/>
        <color rgb="FFFFFFFF"/>
        <name val="Aptos Narrow"/>
        <family val="2"/>
        <scheme val="none"/>
      </font>
      <numFmt numFmtId="172" formatCode="_ &quot;₹&quot;\ * #,##0_ ;_ &quot;₹&quot;\ * \-#,##0_ ;_ &quot;₹&quot;\ * &quot;-&quot;??_ ;_ @_ "/>
      <fill>
        <patternFill patternType="solid">
          <fgColor indexed="64"/>
          <bgColor rgb="FF00206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sz val="12"/>
        <name val="Aptos"/>
        <family val="2"/>
        <scheme val="none"/>
      </font>
      <fill>
        <patternFill>
          <bgColor rgb="FF7030A0"/>
        </patternFill>
      </fill>
    </dxf>
  </dxfs>
  <tableStyles count="4" defaultTableStyle="TableStyleMedium2" defaultPivotStyle="PivotStyleLight16">
    <tableStyle name="Slicer Style 1" pivot="0" table="0" count="1" xr9:uid="{75D15010-1670-4346-9FDD-586F9F68C92D}">
      <tableStyleElement type="wholeTable" dxfId="12"/>
    </tableStyle>
    <tableStyle name="Slicer Style 2" pivot="0" table="0" count="1" xr9:uid="{68A80ECA-F325-4339-BBFC-C4EF90472728}"/>
    <tableStyle name="Slicer Style 3" pivot="0" table="0" count="1" xr9:uid="{54C5E711-E1A3-49EC-A6E3-D47C7BEE676F}"/>
    <tableStyle name="Slicer Style 4" pivot="0" table="0" count="1" xr9:uid="{62B7F9E3-8224-4981-BFD8-CE7DC1CDC0F3}"/>
  </tableStyles>
  <colors>
    <mruColors>
      <color rgb="FF9933FF"/>
    </mruColors>
  </colors>
  <extLst>
    <ext xmlns:x14="http://schemas.microsoft.com/office/spreadsheetml/2009/9/main" uri="{46F421CA-312F-682f-3DD2-61675219B42D}">
      <x14:dxfs count="3">
        <dxf>
          <font>
            <b/>
            <i val="0"/>
            <sz val="10"/>
            <color theme="0"/>
            <name val="Algerian"/>
            <family val="5"/>
            <scheme val="none"/>
          </font>
          <fill>
            <patternFill patternType="solid">
              <bgColor rgb="FF7030A0"/>
            </patternFill>
          </fill>
        </dxf>
        <dxf>
          <fill>
            <patternFill>
              <bgColor rgb="FF7030A0"/>
            </patternFill>
          </fill>
        </dxf>
        <dxf>
          <fill>
            <patternFill>
              <bgColor rgb="FF9933F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!Total sale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r>
              <a:rPr lang="en-IN" baseline="0"/>
              <a:t> by Region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5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4722222222222223"/>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75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w="19050">
            <a:solidFill>
              <a:schemeClr val="lt1"/>
            </a:solidFill>
          </a:ln>
          <a:effectLst/>
        </c:spPr>
        <c:dLbl>
          <c:idx val="0"/>
          <c:layout>
            <c:manualLayout>
              <c:x val="-0.1444444444444444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E1B3-48C4-8CDD-B51C30CA624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1B3-48C4-8CDD-B51C30CA624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4-E1B3-48C4-8CDD-B51C30CA624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5-E1B3-48C4-8CDD-B51C30CA624D}"/>
              </c:ext>
            </c:extLst>
          </c:dPt>
          <c:dLbls>
            <c:dLbl>
              <c:idx val="0"/>
              <c:layout>
                <c:manualLayout>
                  <c:x val="0.15555555555555556"/>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B3-48C4-8CDD-B51C30CA624D}"/>
                </c:ext>
              </c:extLst>
            </c:dLbl>
            <c:dLbl>
              <c:idx val="1"/>
              <c:layout>
                <c:manualLayout>
                  <c:x val="0.14722222222222223"/>
                  <c:y val="7.8703703703703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B3-48C4-8CDD-B51C30CA624D}"/>
                </c:ext>
              </c:extLst>
            </c:dLbl>
            <c:dLbl>
              <c:idx val="2"/>
              <c:layout>
                <c:manualLayout>
                  <c:x val="-0.1750000000000000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B3-48C4-8CDD-B51C30CA624D}"/>
                </c:ext>
              </c:extLst>
            </c:dLbl>
            <c:dLbl>
              <c:idx val="3"/>
              <c:layout>
                <c:manualLayout>
                  <c:x val="-0.1444444444444444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B3-48C4-8CDD-B51C30CA62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_ "₹"\ * #,##0_ ;_ "₹"\ * \-#,##0_ ;_ "₹"\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E1B3-48C4-8CDD-B51C30CA624D}"/>
            </c:ext>
          </c:extLst>
        </c:ser>
        <c:dLbls>
          <c:showLegendKey val="0"/>
          <c:showVal val="1"/>
          <c:showCatName val="0"/>
          <c:showSerName val="0"/>
          <c:showPercent val="0"/>
          <c:showBubbleSize val="0"/>
          <c:showLeaderLines val="1"/>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!PivotTable2</c:name>
    <c:fmtId val="0"/>
  </c:pivotSource>
  <c:chart>
    <c:autoTitleDeleted val="1"/>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'!$E$3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'!$D$4:$D$11</c:f>
              <c:strCache>
                <c:ptCount val="7"/>
                <c:pt idx="0">
                  <c:v>Action Figure</c:v>
                </c:pt>
                <c:pt idx="1">
                  <c:v>Blender</c:v>
                </c:pt>
                <c:pt idx="2">
                  <c:v>Moisturizer</c:v>
                </c:pt>
                <c:pt idx="3">
                  <c:v>Novel</c:v>
                </c:pt>
                <c:pt idx="4">
                  <c:v>Smartphone</c:v>
                </c:pt>
                <c:pt idx="5">
                  <c:v>Sneakers</c:v>
                </c:pt>
                <c:pt idx="6">
                  <c:v>Tent</c:v>
                </c:pt>
              </c:strCache>
            </c:strRef>
          </c:cat>
          <c:val>
            <c:numRef>
              <c:f>'Pivot table '!$E$4:$E$11</c:f>
              <c:numCache>
                <c:formatCode>_ "₹"\ * #,##0_ ;_ "₹"\ * \-#,##0_ ;_ "₹"\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8A7D-4B46-9AED-BFB57EA0CE6A}"/>
            </c:ext>
          </c:extLst>
        </c:ser>
        <c:dLbls>
          <c:showLegendKey val="0"/>
          <c:showVal val="0"/>
          <c:showCatName val="0"/>
          <c:showSerName val="0"/>
          <c:showPercent val="0"/>
          <c:showBubbleSize val="0"/>
        </c:dLbls>
        <c:gapWidth val="52"/>
        <c:shape val="box"/>
        <c:axId val="380446928"/>
        <c:axId val="220968784"/>
        <c:axId val="0"/>
      </c:bar3DChart>
      <c:catAx>
        <c:axId val="380446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68784"/>
        <c:crosses val="autoZero"/>
        <c:auto val="1"/>
        <c:lblAlgn val="ctr"/>
        <c:lblOffset val="100"/>
        <c:noMultiLvlLbl val="0"/>
      </c:catAx>
      <c:valAx>
        <c:axId val="220968784"/>
        <c:scaling>
          <c:orientation val="minMax"/>
        </c:scaling>
        <c:delete val="1"/>
        <c:axPos val="b"/>
        <c:numFmt formatCode="_ &quot;₹&quot;\ * #,##0_ ;_ &quot;₹&quot;\ * \-#,##0_ ;_ &quot;₹&quot;\ * &quot;-&quot;??_ ;_ @_ " sourceLinked="1"/>
        <c:majorTickMark val="none"/>
        <c:minorTickMark val="none"/>
        <c:tickLblPos val="nextTo"/>
        <c:crossAx val="38044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!PivotTable3</c:name>
    <c:fmtId val="0"/>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'!$I$3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 '!$I$4:$I$14</c:f>
              <c:numCache>
                <c:formatCode>_ "₹"\ * #,##0_ ;_ "₹"\ * \-#,##0_ ;_ "₹"\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4E6C-49C4-AEA3-FA505FB59FC2}"/>
            </c:ext>
          </c:extLst>
        </c:ser>
        <c:dLbls>
          <c:showLegendKey val="0"/>
          <c:showVal val="0"/>
          <c:showCatName val="0"/>
          <c:showSerName val="0"/>
          <c:showPercent val="0"/>
          <c:showBubbleSize val="0"/>
        </c:dLbls>
        <c:gapWidth val="100"/>
        <c:overlap val="-27"/>
        <c:axId val="380409808"/>
        <c:axId val="856663152"/>
      </c:barChart>
      <c:catAx>
        <c:axId val="38040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63152"/>
        <c:crosses val="autoZero"/>
        <c:auto val="1"/>
        <c:lblAlgn val="ctr"/>
        <c:lblOffset val="100"/>
        <c:noMultiLvlLbl val="0"/>
      </c:catAx>
      <c:valAx>
        <c:axId val="856663152"/>
        <c:scaling>
          <c:orientation val="minMax"/>
        </c:scaling>
        <c:delete val="1"/>
        <c:axPos val="l"/>
        <c:numFmt formatCode="_ &quot;₹&quot;\ * #,##0_ ;_ &quot;₹&quot;\ * \-#,##0_ ;_ &quot;₹&quot;\ * &quot;-&quot;??_ ;_ @_ " sourceLinked="1"/>
        <c:majorTickMark val="out"/>
        <c:minorTickMark val="none"/>
        <c:tickLblPos val="nextTo"/>
        <c:crossAx val="38040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[Project.xlsx]Pivot table !PivotTable4</c:name>
    <c:fmtId val="0"/>
  </c:pivotSource>
  <c:chart>
    <c:autoTitleDeleted val="1"/>
    <c:pivotFmts>
      <c:pivotFmt>
        <c:idx val="0"/>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'!$L$4:$L$14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 '!$M$4:$M$14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smooth val="0"/>
          <c:extLst>
            <c:ext xmlns:c16="http://schemas.microsoft.com/office/drawing/2014/chart" uri="{C3380CC4-5D6E-409C-BE32-E72D297353CC}">
              <c16:uniqueId val="{00000000-A71A-4934-A41F-C42021E0D833}"/>
            </c:ext>
          </c:extLst>
        </c:ser>
        <c:dLbls>
          <c:dLblPos val="ctr"/>
          <c:showLegendKey val="0"/>
          <c:showVal val="1"/>
          <c:showCatName val="0"/>
          <c:showSerName val="0"/>
          <c:showPercent val="0"/>
          <c:showBubbleSize val="0"/>
        </c:dLbls>
        <c:marker val="1"/>
        <c:smooth val="0"/>
        <c:axId val="1168001920"/>
        <c:axId val="220967344"/>
      </c:lineChart>
      <c:catAx>
        <c:axId val="1168001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0967344"/>
        <c:crosses val="autoZero"/>
        <c:auto val="1"/>
        <c:lblAlgn val="ctr"/>
        <c:lblOffset val="100"/>
        <c:noMultiLvlLbl val="0"/>
      </c:catAx>
      <c:valAx>
        <c:axId val="220967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6800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[Project.xlsx]Pivot table !PivotTable4</c:name>
    <c:fmtId val="12"/>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'!$M$3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table '!$L$4:$L$14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 '!$M$4:$M$14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smooth val="0"/>
          <c:extLst>
            <c:ext xmlns:c16="http://schemas.microsoft.com/office/drawing/2014/chart" uri="{C3380CC4-5D6E-409C-BE32-E72D297353CC}">
              <c16:uniqueId val="{00000000-D3D7-4A22-BA70-A6DD748D582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68001920"/>
        <c:axId val="220967344"/>
      </c:lineChart>
      <c:catAx>
        <c:axId val="1168001920"/>
        <c:scaling>
          <c:orientation val="minMax"/>
        </c:scaling>
        <c:delete val="0"/>
        <c:axPos val="b"/>
        <c:numFmt formatCode="General" sourceLinked="1"/>
        <c:majorTickMark val="none"/>
        <c:minorTickMark val="none"/>
        <c:tickLblPos val="nextTo"/>
        <c:spPr>
          <a:solidFill>
            <a:srgbClr val="7030A0"/>
          </a:solidFill>
          <a:ln w="12700" cap="flat" cmpd="sng" algn="ctr">
            <a:solidFill>
              <a:srgbClr val="7030A0"/>
            </a:solidFill>
            <a:round/>
          </a:ln>
          <a:effectLst/>
        </c:spPr>
        <c:txPr>
          <a:bodyPr rot="-60000000" spcFirstLastPara="1" vertOverflow="ellipsis" vert="horz" wrap="square" anchor="ctr" anchorCtr="1"/>
          <a:lstStyle/>
          <a:p>
            <a:pPr>
              <a:defRPr sz="900" b="0" i="0" u="none" strike="noStrike" kern="1200" spc="100" baseline="0">
                <a:ln>
                  <a:solidFill>
                    <a:schemeClr val="bg1"/>
                  </a:solidFill>
                </a:ln>
                <a:solidFill>
                  <a:schemeClr val="bg1">
                    <a:lumMod val="95000"/>
                  </a:schemeClr>
                </a:solidFill>
                <a:latin typeface="+mn-lt"/>
                <a:ea typeface="+mn-ea"/>
                <a:cs typeface="+mn-cs"/>
              </a:defRPr>
            </a:pPr>
            <a:endParaRPr lang="en-US"/>
          </a:p>
        </c:txPr>
        <c:crossAx val="220967344"/>
        <c:crosses val="autoZero"/>
        <c:auto val="1"/>
        <c:lblAlgn val="ctr"/>
        <c:lblOffset val="100"/>
        <c:noMultiLvlLbl val="0"/>
      </c:catAx>
      <c:valAx>
        <c:axId val="220967344"/>
        <c:scaling>
          <c:orientation val="minMax"/>
        </c:scaling>
        <c:delete val="1"/>
        <c:axPos val="l"/>
        <c:numFmt formatCode="General" sourceLinked="1"/>
        <c:majorTickMark val="none"/>
        <c:minorTickMark val="none"/>
        <c:tickLblPos val="nextTo"/>
        <c:crossAx val="116800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!Total sale by region</c:name>
    <c:fmtId val="1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5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4722222222222223"/>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75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w="19050">
            <a:solidFill>
              <a:schemeClr val="lt1"/>
            </a:solidFill>
          </a:ln>
          <a:effectLst/>
        </c:spPr>
        <c:dLbl>
          <c:idx val="0"/>
          <c:layout>
            <c:manualLayout>
              <c:x val="-0.1444444444444444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5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4722222222222223"/>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75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444444444444444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15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4722222222222223"/>
              <c:y val="7.8703703703703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75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1444444444444444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1AC-49C7-BA78-813B8D3D40F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1AC-49C7-BA78-813B8D3D40F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1AC-49C7-BA78-813B8D3D40F8}"/>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1AC-49C7-BA78-813B8D3D40F8}"/>
              </c:ext>
            </c:extLst>
          </c:dPt>
          <c:dLbls>
            <c:dLbl>
              <c:idx val="0"/>
              <c:layout>
                <c:manualLayout>
                  <c:x val="0.15555555555555556"/>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AC-49C7-BA78-813B8D3D40F8}"/>
                </c:ext>
              </c:extLst>
            </c:dLbl>
            <c:dLbl>
              <c:idx val="1"/>
              <c:layout>
                <c:manualLayout>
                  <c:x val="0.14722222222222223"/>
                  <c:y val="7.8703703703703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AC-49C7-BA78-813B8D3D40F8}"/>
                </c:ext>
              </c:extLst>
            </c:dLbl>
            <c:dLbl>
              <c:idx val="2"/>
              <c:layout>
                <c:manualLayout>
                  <c:x val="-0.1750000000000000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AC-49C7-BA78-813B8D3D40F8}"/>
                </c:ext>
              </c:extLst>
            </c:dLbl>
            <c:dLbl>
              <c:idx val="3"/>
              <c:layout>
                <c:manualLayout>
                  <c:x val="-0.1444444444444444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AC-49C7-BA78-813B8D3D40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_ "₹"\ * #,##0_ ;_ "₹"\ * \-#,##0_ ;_ "₹"\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F1AC-49C7-BA78-813B8D3D40F8}"/>
            </c:ext>
          </c:extLst>
        </c:ser>
        <c:dLbls>
          <c:showLegendKey val="0"/>
          <c:showVal val="1"/>
          <c:showCatName val="0"/>
          <c:showSerName val="0"/>
          <c:showPercent val="0"/>
          <c:showBubbleSize val="0"/>
          <c:showLeaderLines val="1"/>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!PivotTable2</c:name>
    <c:fmtId val="9"/>
  </c:pivotSource>
  <c:chart>
    <c:autoTitleDeleted val="1"/>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'!$E$3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'!$D$4:$D$11</c:f>
              <c:strCache>
                <c:ptCount val="7"/>
                <c:pt idx="0">
                  <c:v>Action Figure</c:v>
                </c:pt>
                <c:pt idx="1">
                  <c:v>Blender</c:v>
                </c:pt>
                <c:pt idx="2">
                  <c:v>Moisturizer</c:v>
                </c:pt>
                <c:pt idx="3">
                  <c:v>Novel</c:v>
                </c:pt>
                <c:pt idx="4">
                  <c:v>Smartphone</c:v>
                </c:pt>
                <c:pt idx="5">
                  <c:v>Sneakers</c:v>
                </c:pt>
                <c:pt idx="6">
                  <c:v>Tent</c:v>
                </c:pt>
              </c:strCache>
            </c:strRef>
          </c:cat>
          <c:val>
            <c:numRef>
              <c:f>'Pivot table '!$E$4:$E$11</c:f>
              <c:numCache>
                <c:formatCode>_ "₹"\ * #,##0_ ;_ "₹"\ * \-#,##0_ ;_ "₹"\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A9C3-48BC-9CF3-4CB2E09FF670}"/>
            </c:ext>
          </c:extLst>
        </c:ser>
        <c:dLbls>
          <c:showLegendKey val="0"/>
          <c:showVal val="0"/>
          <c:showCatName val="0"/>
          <c:showSerName val="0"/>
          <c:showPercent val="0"/>
          <c:showBubbleSize val="0"/>
        </c:dLbls>
        <c:gapWidth val="52"/>
        <c:shape val="box"/>
        <c:axId val="380446928"/>
        <c:axId val="220968784"/>
        <c:axId val="0"/>
      </c:bar3DChart>
      <c:catAx>
        <c:axId val="380446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68784"/>
        <c:crosses val="autoZero"/>
        <c:auto val="1"/>
        <c:lblAlgn val="ctr"/>
        <c:lblOffset val="100"/>
        <c:noMultiLvlLbl val="0"/>
      </c:catAx>
      <c:valAx>
        <c:axId val="220968784"/>
        <c:scaling>
          <c:orientation val="minMax"/>
        </c:scaling>
        <c:delete val="1"/>
        <c:axPos val="b"/>
        <c:numFmt formatCode="_ &quot;₹&quot;\ * #,##0_ ;_ &quot;₹&quot;\ * \-#,##0_ ;_ &quot;₹&quot;\ * &quot;-&quot;??_ ;_ @_ " sourceLinked="1"/>
        <c:majorTickMark val="none"/>
        <c:minorTickMark val="none"/>
        <c:tickLblPos val="nextTo"/>
        <c:crossAx val="38044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!PivotTable3</c:name>
    <c:fmtId val="2"/>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'!$I$3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 '!$I$4:$I$14</c:f>
              <c:numCache>
                <c:formatCode>_ "₹"\ * #,##0_ ;_ "₹"\ * \-#,##0_ ;_ "₹"\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A8AF-4B24-AF07-726C1A0B442E}"/>
            </c:ext>
          </c:extLst>
        </c:ser>
        <c:dLbls>
          <c:showLegendKey val="0"/>
          <c:showVal val="0"/>
          <c:showCatName val="0"/>
          <c:showSerName val="0"/>
          <c:showPercent val="0"/>
          <c:showBubbleSize val="0"/>
        </c:dLbls>
        <c:gapWidth val="100"/>
        <c:overlap val="-27"/>
        <c:axId val="380409808"/>
        <c:axId val="856663152"/>
      </c:barChart>
      <c:catAx>
        <c:axId val="38040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663152"/>
        <c:crosses val="autoZero"/>
        <c:auto val="1"/>
        <c:lblAlgn val="ctr"/>
        <c:lblOffset val="100"/>
        <c:noMultiLvlLbl val="0"/>
      </c:catAx>
      <c:valAx>
        <c:axId val="856663152"/>
        <c:scaling>
          <c:orientation val="minMax"/>
        </c:scaling>
        <c:delete val="1"/>
        <c:axPos val="l"/>
        <c:numFmt formatCode="_ &quot;₹&quot;\ * #,##0_ ;_ &quot;₹&quot;\ * \-#,##0_ ;_ &quot;₹&quot;\ * &quot;-&quot;??_ ;_ @_ " sourceLinked="1"/>
        <c:majorTickMark val="out"/>
        <c:minorTickMark val="none"/>
        <c:tickLblPos val="nextTo"/>
        <c:crossAx val="38040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220980</xdr:colOff>
      <xdr:row>12</xdr:row>
      <xdr:rowOff>11430</xdr:rowOff>
    </xdr:from>
    <xdr:to>
      <xdr:col>5</xdr:col>
      <xdr:colOff>205740</xdr:colOff>
      <xdr:row>27</xdr:row>
      <xdr:rowOff>11430</xdr:rowOff>
    </xdr:to>
    <xdr:graphicFrame macro="">
      <xdr:nvGraphicFramePr>
        <xdr:cNvPr id="2" name="Total sale by region">
          <a:extLst>
            <a:ext uri="{FF2B5EF4-FFF2-40B4-BE49-F238E27FC236}">
              <a16:creationId xmlns:a16="http://schemas.microsoft.com/office/drawing/2014/main" id="{198E1C6B-93B8-AFEC-1E89-A669DBB5F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464820</xdr:colOff>
      <xdr:row>15</xdr:row>
      <xdr:rowOff>11430</xdr:rowOff>
    </xdr:from>
    <xdr:to>
      <xdr:col>11</xdr:col>
      <xdr:colOff>609600</xdr:colOff>
      <xdr:row>30</xdr:row>
      <xdr:rowOff>11430</xdr:rowOff>
    </xdr:to>
    <xdr:graphicFrame macro="">
      <xdr:nvGraphicFramePr>
        <xdr:cNvPr id="3" name="Chart 2">
          <a:extLst>
            <a:ext uri="{FF2B5EF4-FFF2-40B4-BE49-F238E27FC236}">
              <a16:creationId xmlns:a16="http://schemas.microsoft.com/office/drawing/2014/main" id="{768DD11F-D679-7FAC-C60B-213BC73CE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701040</xdr:colOff>
      <xdr:row>30</xdr:row>
      <xdr:rowOff>110490</xdr:rowOff>
    </xdr:from>
    <xdr:to>
      <xdr:col>7</xdr:col>
      <xdr:colOff>68580</xdr:colOff>
      <xdr:row>45</xdr:row>
      <xdr:rowOff>110490</xdr:rowOff>
    </xdr:to>
    <xdr:graphicFrame macro="">
      <xdr:nvGraphicFramePr>
        <xdr:cNvPr id="4" name="Chart 3">
          <a:extLst>
            <a:ext uri="{FF2B5EF4-FFF2-40B4-BE49-F238E27FC236}">
              <a16:creationId xmlns:a16="http://schemas.microsoft.com/office/drawing/2014/main" id="{AF832A11-8173-C4BA-2245-E17E53331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87630</xdr:rowOff>
    </xdr:from>
    <xdr:to>
      <xdr:col>18</xdr:col>
      <xdr:colOff>426720</xdr:colOff>
      <xdr:row>30</xdr:row>
      <xdr:rowOff>87630</xdr:rowOff>
    </xdr:to>
    <xdr:graphicFrame macro="">
      <xdr:nvGraphicFramePr>
        <xdr:cNvPr id="5" name="Chart 4">
          <a:extLst>
            <a:ext uri="{FF2B5EF4-FFF2-40B4-BE49-F238E27FC236}">
              <a16:creationId xmlns:a16="http://schemas.microsoft.com/office/drawing/2014/main" id="{00F0B41A-25F3-8DC1-806A-6D4D06B77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228600</xdr:colOff>
      <xdr:row>33</xdr:row>
      <xdr:rowOff>114300</xdr:rowOff>
    </xdr:from>
    <xdr:to>
      <xdr:col>16</xdr:col>
      <xdr:colOff>228600</xdr:colOff>
      <xdr:row>47</xdr:row>
      <xdr:rowOff>20955</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C17AFF8A-8541-FB75-8C55-198B0404933A}"/>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1201400" y="6149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33</xdr:row>
      <xdr:rowOff>106681</xdr:rowOff>
    </xdr:from>
    <xdr:to>
      <xdr:col>9</xdr:col>
      <xdr:colOff>198120</xdr:colOff>
      <xdr:row>37</xdr:row>
      <xdr:rowOff>160021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01538D4-8E6B-67A3-2FC4-5D0EF2292F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64580" y="6141721"/>
              <a:ext cx="1828800" cy="78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350520</xdr:colOff>
      <xdr:row>34</xdr:row>
      <xdr:rowOff>106680</xdr:rowOff>
    </xdr:from>
    <xdr:to>
      <xdr:col>12</xdr:col>
      <xdr:colOff>708660</xdr:colOff>
      <xdr:row>48</xdr:row>
      <xdr:rowOff>13335</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776BCAF7-0349-D6CA-2DFC-5A94065BAA4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55380" y="6324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45720</xdr:rowOff>
    </xdr:from>
    <xdr:to>
      <xdr:col>23</xdr:col>
      <xdr:colOff>76200</xdr:colOff>
      <xdr:row>5</xdr:row>
      <xdr:rowOff>91440</xdr:rowOff>
    </xdr:to>
    <xdr:sp macro="" textlink="">
      <xdr:nvSpPr>
        <xdr:cNvPr id="2" name="Rectangle: Rounded Corners 1">
          <a:extLst>
            <a:ext uri="{FF2B5EF4-FFF2-40B4-BE49-F238E27FC236}">
              <a16:creationId xmlns:a16="http://schemas.microsoft.com/office/drawing/2014/main" id="{F8295307-1FDB-3E5F-4FC0-9F7C8B2DA9D9}"/>
            </a:ext>
          </a:extLst>
        </xdr:cNvPr>
        <xdr:cNvSpPr/>
      </xdr:nvSpPr>
      <xdr:spPr>
        <a:xfrm>
          <a:off x="68580" y="45720"/>
          <a:ext cx="14028420" cy="960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20</xdr:col>
      <xdr:colOff>522269</xdr:colOff>
      <xdr:row>5</xdr:row>
      <xdr:rowOff>21771</xdr:rowOff>
    </xdr:to>
    <xdr:sp macro="" textlink="">
      <xdr:nvSpPr>
        <xdr:cNvPr id="3" name="Rectangle: Rounded Corners 2">
          <a:extLst>
            <a:ext uri="{FF2B5EF4-FFF2-40B4-BE49-F238E27FC236}">
              <a16:creationId xmlns:a16="http://schemas.microsoft.com/office/drawing/2014/main" id="{4B3892B1-B8B7-2F40-DDDF-63A3CC568B3A}"/>
            </a:ext>
          </a:extLst>
        </xdr:cNvPr>
        <xdr:cNvSpPr/>
      </xdr:nvSpPr>
      <xdr:spPr>
        <a:xfrm>
          <a:off x="0" y="0"/>
          <a:ext cx="12680022" cy="9207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175260</xdr:rowOff>
    </xdr:from>
    <xdr:to>
      <xdr:col>3</xdr:col>
      <xdr:colOff>177352</xdr:colOff>
      <xdr:row>9</xdr:row>
      <xdr:rowOff>142876</xdr:rowOff>
    </xdr:to>
    <xdr:grpSp>
      <xdr:nvGrpSpPr>
        <xdr:cNvPr id="16" name="Group 15">
          <a:extLst>
            <a:ext uri="{FF2B5EF4-FFF2-40B4-BE49-F238E27FC236}">
              <a16:creationId xmlns:a16="http://schemas.microsoft.com/office/drawing/2014/main" id="{9FB49503-02AB-441D-633A-967FAB0D7E5F}"/>
            </a:ext>
          </a:extLst>
        </xdr:cNvPr>
        <xdr:cNvGrpSpPr/>
      </xdr:nvGrpSpPr>
      <xdr:grpSpPr>
        <a:xfrm>
          <a:off x="0" y="1103337"/>
          <a:ext cx="1994429" cy="710077"/>
          <a:chOff x="0" y="1101302"/>
          <a:chExt cx="2002977" cy="708449"/>
        </a:xfrm>
      </xdr:grpSpPr>
      <xdr:sp macro="" textlink="">
        <xdr:nvSpPr>
          <xdr:cNvPr id="4" name="Rectangle: Rounded Corners 3">
            <a:extLst>
              <a:ext uri="{FF2B5EF4-FFF2-40B4-BE49-F238E27FC236}">
                <a16:creationId xmlns:a16="http://schemas.microsoft.com/office/drawing/2014/main" id="{341B7CE9-5950-4075-93DF-61F762642691}"/>
              </a:ext>
            </a:extLst>
          </xdr:cNvPr>
          <xdr:cNvSpPr/>
        </xdr:nvSpPr>
        <xdr:spPr>
          <a:xfrm>
            <a:off x="0" y="1111251"/>
            <a:ext cx="2002977" cy="6985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08C27822-E59F-4B69-8218-C94ED72C1AA7}"/>
              </a:ext>
            </a:extLst>
          </xdr:cNvPr>
          <xdr:cNvSpPr/>
        </xdr:nvSpPr>
        <xdr:spPr>
          <a:xfrm>
            <a:off x="30480" y="1101302"/>
            <a:ext cx="498687" cy="700385"/>
          </a:xfrm>
          <a:prstGeom prst="round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379BF285-7409-0A75-470B-23754ECC601D}"/>
              </a:ext>
            </a:extLst>
          </xdr:cNvPr>
          <xdr:cNvSpPr txBox="1"/>
        </xdr:nvSpPr>
        <xdr:spPr>
          <a:xfrm>
            <a:off x="666750" y="1143000"/>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030A0"/>
                </a:solidFill>
                <a:latin typeface="Algerian" panose="04020705040A02060702" pitchFamily="82" charset="0"/>
              </a:rPr>
              <a:t>Total Sales</a:t>
            </a:r>
          </a:p>
        </xdr:txBody>
      </xdr:sp>
      <xdr:sp macro="" textlink="Dataset!K2">
        <xdr:nvSpPr>
          <xdr:cNvPr id="15" name="TextBox 14">
            <a:extLst>
              <a:ext uri="{FF2B5EF4-FFF2-40B4-BE49-F238E27FC236}">
                <a16:creationId xmlns:a16="http://schemas.microsoft.com/office/drawing/2014/main" id="{38C34776-BE0C-4423-A335-5E310FB0FA7E}"/>
              </a:ext>
            </a:extLst>
          </xdr:cNvPr>
          <xdr:cNvSpPr txBox="1"/>
        </xdr:nvSpPr>
        <xdr:spPr>
          <a:xfrm>
            <a:off x="586317" y="1385357"/>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5BB14-4695-4C6E-8BB1-8282B1F0AE5F}" type="TxLink">
              <a:rPr lang="en-US" sz="1200" b="0" i="0" u="none" strike="noStrike">
                <a:ln>
                  <a:noFill/>
                </a:ln>
                <a:solidFill>
                  <a:srgbClr val="7030A0"/>
                </a:solidFill>
                <a:latin typeface="Arial Rounded MT Bold" panose="020F0704030504030204" pitchFamily="34" charset="0"/>
                <a:ea typeface="Calibri"/>
                <a:cs typeface="Calibri"/>
              </a:rPr>
              <a:pPr algn="ctr"/>
              <a:t> 1,29,44,500 </a:t>
            </a:fld>
            <a:endParaRPr lang="en-IN" sz="1200">
              <a:ln>
                <a:noFill/>
              </a:ln>
              <a:solidFill>
                <a:srgbClr val="7030A0"/>
              </a:solidFill>
              <a:latin typeface="Arial Rounded MT Bold" panose="020F0704030504030204" pitchFamily="34" charset="0"/>
            </a:endParaRPr>
          </a:p>
        </xdr:txBody>
      </xdr:sp>
    </xdr:grpSp>
    <xdr:clientData/>
  </xdr:twoCellAnchor>
  <xdr:twoCellAnchor>
    <xdr:from>
      <xdr:col>3</xdr:col>
      <xdr:colOff>275167</xdr:colOff>
      <xdr:row>5</xdr:row>
      <xdr:rowOff>175260</xdr:rowOff>
    </xdr:from>
    <xdr:to>
      <xdr:col>6</xdr:col>
      <xdr:colOff>452519</xdr:colOff>
      <xdr:row>9</xdr:row>
      <xdr:rowOff>142876</xdr:rowOff>
    </xdr:to>
    <xdr:grpSp>
      <xdr:nvGrpSpPr>
        <xdr:cNvPr id="22" name="Group 21">
          <a:extLst>
            <a:ext uri="{FF2B5EF4-FFF2-40B4-BE49-F238E27FC236}">
              <a16:creationId xmlns:a16="http://schemas.microsoft.com/office/drawing/2014/main" id="{7C9D5018-CC60-C6CF-DE4C-60D5CC1F65A1}"/>
            </a:ext>
          </a:extLst>
        </xdr:cNvPr>
        <xdr:cNvGrpSpPr/>
      </xdr:nvGrpSpPr>
      <xdr:grpSpPr>
        <a:xfrm>
          <a:off x="2092244" y="1103337"/>
          <a:ext cx="1994429" cy="710077"/>
          <a:chOff x="0" y="1101302"/>
          <a:chExt cx="2002977" cy="708449"/>
        </a:xfrm>
      </xdr:grpSpPr>
      <xdr:sp macro="" textlink="">
        <xdr:nvSpPr>
          <xdr:cNvPr id="23" name="Rectangle: Rounded Corners 22">
            <a:extLst>
              <a:ext uri="{FF2B5EF4-FFF2-40B4-BE49-F238E27FC236}">
                <a16:creationId xmlns:a16="http://schemas.microsoft.com/office/drawing/2014/main" id="{50FD285E-0F3B-EC21-3B3F-DAFD93007B35}"/>
              </a:ext>
            </a:extLst>
          </xdr:cNvPr>
          <xdr:cNvSpPr/>
        </xdr:nvSpPr>
        <xdr:spPr>
          <a:xfrm>
            <a:off x="0" y="1111251"/>
            <a:ext cx="2002977" cy="6985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8354F9BD-87A1-FEDF-9ACD-E079B11ED5AD}"/>
              </a:ext>
            </a:extLst>
          </xdr:cNvPr>
          <xdr:cNvSpPr/>
        </xdr:nvSpPr>
        <xdr:spPr>
          <a:xfrm>
            <a:off x="30480" y="1101302"/>
            <a:ext cx="498687" cy="700385"/>
          </a:xfrm>
          <a:prstGeom prst="round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4A8AF12B-FE5D-6D88-E295-FA5DCE099177}"/>
              </a:ext>
            </a:extLst>
          </xdr:cNvPr>
          <xdr:cNvSpPr txBox="1"/>
        </xdr:nvSpPr>
        <xdr:spPr>
          <a:xfrm>
            <a:off x="666750" y="1143000"/>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lgerian" panose="04020705040A02060702" pitchFamily="82" charset="0"/>
              </a:rPr>
              <a:t>Unit</a:t>
            </a:r>
            <a:r>
              <a:rPr lang="en-IN" sz="1100" b="1" baseline="0">
                <a:solidFill>
                  <a:srgbClr val="7030A0"/>
                </a:solidFill>
                <a:latin typeface="Algerian" panose="04020705040A02060702" pitchFamily="82" charset="0"/>
              </a:rPr>
              <a:t> sold</a:t>
            </a:r>
            <a:endParaRPr lang="en-IN" sz="1100" b="1">
              <a:solidFill>
                <a:srgbClr val="7030A0"/>
              </a:solidFill>
              <a:latin typeface="Algerian" panose="04020705040A02060702" pitchFamily="82" charset="0"/>
            </a:endParaRPr>
          </a:p>
        </xdr:txBody>
      </xdr:sp>
      <xdr:sp macro="" textlink="Dataset!K6">
        <xdr:nvSpPr>
          <xdr:cNvPr id="26" name="TextBox 25">
            <a:extLst>
              <a:ext uri="{FF2B5EF4-FFF2-40B4-BE49-F238E27FC236}">
                <a16:creationId xmlns:a16="http://schemas.microsoft.com/office/drawing/2014/main" id="{3651A2A8-FB81-ED37-4CAC-C8E4861643F6}"/>
              </a:ext>
            </a:extLst>
          </xdr:cNvPr>
          <xdr:cNvSpPr txBox="1"/>
        </xdr:nvSpPr>
        <xdr:spPr>
          <a:xfrm>
            <a:off x="651527" y="1385357"/>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640E8-5841-4716-8652-0128F3390BD8}" type="TxLink">
              <a:rPr lang="en-US" sz="1200" b="0" i="0" u="none" strike="noStrike">
                <a:ln>
                  <a:noFill/>
                </a:ln>
                <a:solidFill>
                  <a:srgbClr val="7030A0"/>
                </a:solidFill>
                <a:latin typeface="Arial Rounded MT Bold" panose="020F0704030504030204" pitchFamily="34" charset="0"/>
                <a:ea typeface="Calibri"/>
                <a:cs typeface="Calibri"/>
              </a:rPr>
              <a:t> 38,34,400 </a:t>
            </a:fld>
            <a:endParaRPr lang="en-IN" sz="1400">
              <a:ln>
                <a:noFill/>
              </a:ln>
              <a:solidFill>
                <a:srgbClr val="7030A0"/>
              </a:solidFill>
              <a:latin typeface="Arial Rounded MT Bold" panose="020F0704030504030204" pitchFamily="34" charset="0"/>
            </a:endParaRPr>
          </a:p>
        </xdr:txBody>
      </xdr:sp>
    </xdr:grpSp>
    <xdr:clientData/>
  </xdr:twoCellAnchor>
  <xdr:twoCellAnchor>
    <xdr:from>
      <xdr:col>6</xdr:col>
      <xdr:colOff>560917</xdr:colOff>
      <xdr:row>5</xdr:row>
      <xdr:rowOff>175260</xdr:rowOff>
    </xdr:from>
    <xdr:to>
      <xdr:col>10</xdr:col>
      <xdr:colOff>129727</xdr:colOff>
      <xdr:row>9</xdr:row>
      <xdr:rowOff>142876</xdr:rowOff>
    </xdr:to>
    <xdr:grpSp>
      <xdr:nvGrpSpPr>
        <xdr:cNvPr id="27" name="Group 26">
          <a:extLst>
            <a:ext uri="{FF2B5EF4-FFF2-40B4-BE49-F238E27FC236}">
              <a16:creationId xmlns:a16="http://schemas.microsoft.com/office/drawing/2014/main" id="{7C8A4402-0ACD-C456-E163-8BBFB5978BFC}"/>
            </a:ext>
          </a:extLst>
        </xdr:cNvPr>
        <xdr:cNvGrpSpPr/>
      </xdr:nvGrpSpPr>
      <xdr:grpSpPr>
        <a:xfrm>
          <a:off x="4195071" y="1103337"/>
          <a:ext cx="1991579" cy="710077"/>
          <a:chOff x="0" y="1101302"/>
          <a:chExt cx="2002977" cy="708449"/>
        </a:xfrm>
      </xdr:grpSpPr>
      <xdr:sp macro="" textlink="">
        <xdr:nvSpPr>
          <xdr:cNvPr id="28" name="Rectangle: Rounded Corners 27">
            <a:extLst>
              <a:ext uri="{FF2B5EF4-FFF2-40B4-BE49-F238E27FC236}">
                <a16:creationId xmlns:a16="http://schemas.microsoft.com/office/drawing/2014/main" id="{A922C366-EF74-E0D9-1B7F-FFF32C81EB50}"/>
              </a:ext>
            </a:extLst>
          </xdr:cNvPr>
          <xdr:cNvSpPr/>
        </xdr:nvSpPr>
        <xdr:spPr>
          <a:xfrm>
            <a:off x="0" y="1111251"/>
            <a:ext cx="2002977" cy="6985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9DF3DCBC-6716-92DC-9989-21CF628EBD4E}"/>
              </a:ext>
            </a:extLst>
          </xdr:cNvPr>
          <xdr:cNvSpPr/>
        </xdr:nvSpPr>
        <xdr:spPr>
          <a:xfrm>
            <a:off x="30480" y="1101302"/>
            <a:ext cx="498687" cy="700385"/>
          </a:xfrm>
          <a:prstGeom prst="round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A6FABC12-CFB0-6E5A-E34C-E515CCA6BBA2}"/>
              </a:ext>
            </a:extLst>
          </xdr:cNvPr>
          <xdr:cNvSpPr txBox="1"/>
        </xdr:nvSpPr>
        <xdr:spPr>
          <a:xfrm>
            <a:off x="579849" y="1172662"/>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lgerian" panose="04020705040A02060702" pitchFamily="82" charset="0"/>
              </a:rPr>
              <a:t>Profit</a:t>
            </a:r>
          </a:p>
        </xdr:txBody>
      </xdr:sp>
      <xdr:sp macro="" textlink="Dataset!K4">
        <xdr:nvSpPr>
          <xdr:cNvPr id="31" name="TextBox 30">
            <a:extLst>
              <a:ext uri="{FF2B5EF4-FFF2-40B4-BE49-F238E27FC236}">
                <a16:creationId xmlns:a16="http://schemas.microsoft.com/office/drawing/2014/main" id="{27F902A0-5559-825C-DBF4-1CAA037F8E21}"/>
              </a:ext>
            </a:extLst>
          </xdr:cNvPr>
          <xdr:cNvSpPr txBox="1"/>
        </xdr:nvSpPr>
        <xdr:spPr>
          <a:xfrm>
            <a:off x="586317" y="1407603"/>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F7F7DB-7C30-4411-8A0C-878D08554693}" type="TxLink">
              <a:rPr lang="en-US" sz="1200" b="0" i="0" u="none" strike="noStrike">
                <a:ln>
                  <a:noFill/>
                </a:ln>
                <a:solidFill>
                  <a:srgbClr val="7030A0"/>
                </a:solidFill>
                <a:latin typeface="Arial Rounded MT Bold" panose="020F0704030504030204" pitchFamily="34" charset="0"/>
                <a:ea typeface="Calibri"/>
                <a:cs typeface="Calibri"/>
              </a:rPr>
              <a:t>4705</a:t>
            </a:fld>
            <a:endParaRPr lang="en-IN" sz="1400">
              <a:ln>
                <a:noFill/>
              </a:ln>
              <a:solidFill>
                <a:srgbClr val="7030A0"/>
              </a:solidFill>
              <a:latin typeface="Arial Rounded MT Bold" panose="020F0704030504030204" pitchFamily="34" charset="0"/>
            </a:endParaRPr>
          </a:p>
        </xdr:txBody>
      </xdr:sp>
    </xdr:grpSp>
    <xdr:clientData/>
  </xdr:twoCellAnchor>
  <xdr:twoCellAnchor>
    <xdr:from>
      <xdr:col>10</xdr:col>
      <xdr:colOff>210457</xdr:colOff>
      <xdr:row>5</xdr:row>
      <xdr:rowOff>175260</xdr:rowOff>
    </xdr:from>
    <xdr:to>
      <xdr:col>13</xdr:col>
      <xdr:colOff>387809</xdr:colOff>
      <xdr:row>9</xdr:row>
      <xdr:rowOff>142876</xdr:rowOff>
    </xdr:to>
    <xdr:grpSp>
      <xdr:nvGrpSpPr>
        <xdr:cNvPr id="32" name="Group 31">
          <a:extLst>
            <a:ext uri="{FF2B5EF4-FFF2-40B4-BE49-F238E27FC236}">
              <a16:creationId xmlns:a16="http://schemas.microsoft.com/office/drawing/2014/main" id="{637E6D86-1250-183A-3DCF-F71910106403}"/>
            </a:ext>
          </a:extLst>
        </xdr:cNvPr>
        <xdr:cNvGrpSpPr/>
      </xdr:nvGrpSpPr>
      <xdr:grpSpPr>
        <a:xfrm>
          <a:off x="6267380" y="1103337"/>
          <a:ext cx="1994429" cy="710077"/>
          <a:chOff x="0" y="1101302"/>
          <a:chExt cx="2002977" cy="708449"/>
        </a:xfrm>
      </xdr:grpSpPr>
      <xdr:sp macro="" textlink="">
        <xdr:nvSpPr>
          <xdr:cNvPr id="33" name="Rectangle: Rounded Corners 32">
            <a:extLst>
              <a:ext uri="{FF2B5EF4-FFF2-40B4-BE49-F238E27FC236}">
                <a16:creationId xmlns:a16="http://schemas.microsoft.com/office/drawing/2014/main" id="{D7AEC26B-FDC3-C743-54DA-7D211206F140}"/>
              </a:ext>
            </a:extLst>
          </xdr:cNvPr>
          <xdr:cNvSpPr/>
        </xdr:nvSpPr>
        <xdr:spPr>
          <a:xfrm>
            <a:off x="0" y="1111251"/>
            <a:ext cx="2002977" cy="6985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8B0C436D-A29E-8239-FC30-21A90930D2E3}"/>
              </a:ext>
            </a:extLst>
          </xdr:cNvPr>
          <xdr:cNvSpPr/>
        </xdr:nvSpPr>
        <xdr:spPr>
          <a:xfrm>
            <a:off x="30480" y="1101302"/>
            <a:ext cx="498687" cy="700385"/>
          </a:xfrm>
          <a:prstGeom prst="round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7120F01D-4DA6-BDA5-1287-D3C78F144612}"/>
              </a:ext>
            </a:extLst>
          </xdr:cNvPr>
          <xdr:cNvSpPr txBox="1"/>
        </xdr:nvSpPr>
        <xdr:spPr>
          <a:xfrm>
            <a:off x="666750" y="1143000"/>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030A0"/>
                </a:solidFill>
                <a:latin typeface="Algerian" panose="04020705040A02060702" pitchFamily="82" charset="0"/>
              </a:rPr>
              <a:t>Avg  Sales</a:t>
            </a:r>
          </a:p>
        </xdr:txBody>
      </xdr:sp>
      <xdr:sp macro="" textlink="Dataset!K8">
        <xdr:nvSpPr>
          <xdr:cNvPr id="36" name="TextBox 35">
            <a:extLst>
              <a:ext uri="{FF2B5EF4-FFF2-40B4-BE49-F238E27FC236}">
                <a16:creationId xmlns:a16="http://schemas.microsoft.com/office/drawing/2014/main" id="{D3F5AA8E-DA30-B739-54AF-43D79193ADD2}"/>
              </a:ext>
            </a:extLst>
          </xdr:cNvPr>
          <xdr:cNvSpPr txBox="1"/>
        </xdr:nvSpPr>
        <xdr:spPr>
          <a:xfrm>
            <a:off x="586317" y="1385357"/>
            <a:ext cx="120120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4178B-CEDE-4608-9103-98110FB9CC0B}" type="TxLink">
              <a:rPr lang="en-US" sz="1200" b="0" i="0" u="none" strike="noStrike">
                <a:ln>
                  <a:noFill/>
                </a:ln>
                <a:solidFill>
                  <a:srgbClr val="7030A0"/>
                </a:solidFill>
                <a:latin typeface="Arial Rounded MT Bold" panose="020F0704030504030204" pitchFamily="34" charset="0"/>
                <a:ea typeface="Calibri"/>
                <a:cs typeface="Calibri"/>
              </a:rPr>
              <a:t> 2,58,890 </a:t>
            </a:fld>
            <a:endParaRPr lang="en-IN" sz="1400">
              <a:ln>
                <a:noFill/>
              </a:ln>
              <a:solidFill>
                <a:srgbClr val="7030A0"/>
              </a:solidFill>
              <a:latin typeface="Arial Rounded MT Bold" panose="020F0704030504030204" pitchFamily="34" charset="0"/>
            </a:endParaRPr>
          </a:p>
        </xdr:txBody>
      </xdr:sp>
    </xdr:grpSp>
    <xdr:clientData/>
  </xdr:twoCellAnchor>
  <xdr:twoCellAnchor editAs="oneCell">
    <xdr:from>
      <xdr:col>0</xdr:col>
      <xdr:colOff>87085</xdr:colOff>
      <xdr:row>6</xdr:row>
      <xdr:rowOff>152400</xdr:rowOff>
    </xdr:from>
    <xdr:to>
      <xdr:col>0</xdr:col>
      <xdr:colOff>447085</xdr:colOff>
      <xdr:row>8</xdr:row>
      <xdr:rowOff>149542</xdr:rowOff>
    </xdr:to>
    <xdr:pic>
      <xdr:nvPicPr>
        <xdr:cNvPr id="44" name="Graphic 43" descr="Bar graph with upward trend with solid fill">
          <a:extLst>
            <a:ext uri="{FF2B5EF4-FFF2-40B4-BE49-F238E27FC236}">
              <a16:creationId xmlns:a16="http://schemas.microsoft.com/office/drawing/2014/main" id="{DB48B2A4-9946-7741-B584-8EE16D2994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085" y="1240971"/>
          <a:ext cx="360000" cy="360000"/>
        </a:xfrm>
        <a:prstGeom prst="rect">
          <a:avLst/>
        </a:prstGeom>
      </xdr:spPr>
    </xdr:pic>
    <xdr:clientData/>
  </xdr:twoCellAnchor>
  <xdr:twoCellAnchor editAs="oneCell">
    <xdr:from>
      <xdr:col>3</xdr:col>
      <xdr:colOff>399143</xdr:colOff>
      <xdr:row>6</xdr:row>
      <xdr:rowOff>130629</xdr:rowOff>
    </xdr:from>
    <xdr:to>
      <xdr:col>4</xdr:col>
      <xdr:colOff>149543</xdr:colOff>
      <xdr:row>8</xdr:row>
      <xdr:rowOff>127771</xdr:rowOff>
    </xdr:to>
    <xdr:pic>
      <xdr:nvPicPr>
        <xdr:cNvPr id="46" name="Graphic 45" descr="Checkmark with solid fill">
          <a:extLst>
            <a:ext uri="{FF2B5EF4-FFF2-40B4-BE49-F238E27FC236}">
              <a16:creationId xmlns:a16="http://schemas.microsoft.com/office/drawing/2014/main" id="{90ED88BE-7FFE-F6FA-BD81-96DF876E16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27943" y="1219200"/>
          <a:ext cx="360000" cy="360000"/>
        </a:xfrm>
        <a:prstGeom prst="rect">
          <a:avLst/>
        </a:prstGeom>
      </xdr:spPr>
    </xdr:pic>
    <xdr:clientData/>
  </xdr:twoCellAnchor>
  <xdr:twoCellAnchor editAs="oneCell">
    <xdr:from>
      <xdr:col>10</xdr:col>
      <xdr:colOff>319314</xdr:colOff>
      <xdr:row>6</xdr:row>
      <xdr:rowOff>159658</xdr:rowOff>
    </xdr:from>
    <xdr:to>
      <xdr:col>11</xdr:col>
      <xdr:colOff>69714</xdr:colOff>
      <xdr:row>8</xdr:row>
      <xdr:rowOff>156800</xdr:rowOff>
    </xdr:to>
    <xdr:pic>
      <xdr:nvPicPr>
        <xdr:cNvPr id="48" name="Graphic 47" descr="Coins with solid fill">
          <a:extLst>
            <a:ext uri="{FF2B5EF4-FFF2-40B4-BE49-F238E27FC236}">
              <a16:creationId xmlns:a16="http://schemas.microsoft.com/office/drawing/2014/main" id="{3CA70D46-41A5-40E0-C343-6844C3F774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15314" y="1248229"/>
          <a:ext cx="360000" cy="360000"/>
        </a:xfrm>
        <a:prstGeom prst="rect">
          <a:avLst/>
        </a:prstGeom>
      </xdr:spPr>
    </xdr:pic>
    <xdr:clientData/>
  </xdr:twoCellAnchor>
  <xdr:twoCellAnchor editAs="oneCell">
    <xdr:from>
      <xdr:col>7</xdr:col>
      <xdr:colOff>43543</xdr:colOff>
      <xdr:row>6</xdr:row>
      <xdr:rowOff>152400</xdr:rowOff>
    </xdr:from>
    <xdr:to>
      <xdr:col>7</xdr:col>
      <xdr:colOff>403543</xdr:colOff>
      <xdr:row>8</xdr:row>
      <xdr:rowOff>149542</xdr:rowOff>
    </xdr:to>
    <xdr:pic>
      <xdr:nvPicPr>
        <xdr:cNvPr id="50" name="Graphic 49" descr="Bar graph with upward trend with solid fill">
          <a:extLst>
            <a:ext uri="{FF2B5EF4-FFF2-40B4-BE49-F238E27FC236}">
              <a16:creationId xmlns:a16="http://schemas.microsoft.com/office/drawing/2014/main" id="{4AE7DCCE-8C49-80C8-6EB3-F7D40C96B6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10743" y="1240971"/>
          <a:ext cx="360000" cy="360000"/>
        </a:xfrm>
        <a:prstGeom prst="rect">
          <a:avLst/>
        </a:prstGeom>
      </xdr:spPr>
    </xdr:pic>
    <xdr:clientData/>
  </xdr:twoCellAnchor>
  <xdr:twoCellAnchor>
    <xdr:from>
      <xdr:col>0</xdr:col>
      <xdr:colOff>152399</xdr:colOff>
      <xdr:row>0</xdr:row>
      <xdr:rowOff>0</xdr:rowOff>
    </xdr:from>
    <xdr:to>
      <xdr:col>20</xdr:col>
      <xdr:colOff>342471</xdr:colOff>
      <xdr:row>5</xdr:row>
      <xdr:rowOff>21771</xdr:rowOff>
    </xdr:to>
    <xdr:sp macro="" textlink="">
      <xdr:nvSpPr>
        <xdr:cNvPr id="51" name="TextBox 50">
          <a:extLst>
            <a:ext uri="{FF2B5EF4-FFF2-40B4-BE49-F238E27FC236}">
              <a16:creationId xmlns:a16="http://schemas.microsoft.com/office/drawing/2014/main" id="{3B3234C5-4768-3FB3-FC1F-5DF91503C8FA}"/>
            </a:ext>
          </a:extLst>
        </xdr:cNvPr>
        <xdr:cNvSpPr txBox="1"/>
      </xdr:nvSpPr>
      <xdr:spPr>
        <a:xfrm>
          <a:off x="152399" y="0"/>
          <a:ext cx="12347825" cy="920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rgbClr val="7030A0"/>
              </a:solidFill>
              <a:latin typeface="Berlin Sans FB Demi" panose="020E0802020502020306" pitchFamily="34" charset="0"/>
            </a:rPr>
            <a:t>SALES DASHBOARD -</a:t>
          </a:r>
          <a:r>
            <a:rPr lang="en-IN" sz="3600" baseline="0">
              <a:solidFill>
                <a:srgbClr val="7030A0"/>
              </a:solidFill>
              <a:latin typeface="Berlin Sans FB Demi" panose="020E0802020502020306" pitchFamily="34" charset="0"/>
            </a:rPr>
            <a:t> 2026</a:t>
          </a:r>
          <a:endParaRPr lang="en-IN" sz="3600">
            <a:solidFill>
              <a:srgbClr val="7030A0"/>
            </a:solidFill>
            <a:latin typeface="Berlin Sans FB Demi" panose="020E0802020502020306" pitchFamily="34" charset="0"/>
          </a:endParaRPr>
        </a:p>
      </xdr:txBody>
    </xdr:sp>
    <xdr:clientData/>
  </xdr:twoCellAnchor>
  <xdr:twoCellAnchor editAs="oneCell">
    <xdr:from>
      <xdr:col>14</xdr:col>
      <xdr:colOff>224317</xdr:colOff>
      <xdr:row>6</xdr:row>
      <xdr:rowOff>17123</xdr:rowOff>
    </xdr:from>
    <xdr:to>
      <xdr:col>20</xdr:col>
      <xdr:colOff>308225</xdr:colOff>
      <xdr:row>10</xdr:row>
      <xdr:rowOff>33460</xdr:rowOff>
    </xdr:to>
    <mc:AlternateContent xmlns:mc="http://schemas.openxmlformats.org/markup-compatibility/2006">
      <mc:Choice xmlns:a14="http://schemas.microsoft.com/office/drawing/2010/main" Requires="a14">
        <xdr:graphicFrame macro="">
          <xdr:nvGraphicFramePr>
            <xdr:cNvPr id="52" name="Region 1">
              <a:extLst>
                <a:ext uri="{FF2B5EF4-FFF2-40B4-BE49-F238E27FC236}">
                  <a16:creationId xmlns:a16="http://schemas.microsoft.com/office/drawing/2014/main" id="{161C56BF-C264-490D-9A92-9BA9814CA5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704009" y="1130815"/>
              <a:ext cx="3718062" cy="75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29391</xdr:colOff>
      <xdr:row>24</xdr:row>
      <xdr:rowOff>101600</xdr:rowOff>
    </xdr:from>
    <xdr:to>
      <xdr:col>3</xdr:col>
      <xdr:colOff>29391</xdr:colOff>
      <xdr:row>45</xdr:row>
      <xdr:rowOff>34247</xdr:rowOff>
    </xdr:to>
    <mc:AlternateContent xmlns:mc="http://schemas.openxmlformats.org/markup-compatibility/2006">
      <mc:Choice xmlns:a14="http://schemas.microsoft.com/office/drawing/2010/main" Requires="a14">
        <xdr:graphicFrame macro="">
          <xdr:nvGraphicFramePr>
            <xdr:cNvPr id="53" name="Sales Person 1">
              <a:extLst>
                <a:ext uri="{FF2B5EF4-FFF2-40B4-BE49-F238E27FC236}">
                  <a16:creationId xmlns:a16="http://schemas.microsoft.com/office/drawing/2014/main" id="{011E8ABA-ED69-4E27-9C3A-FBC408A4AEFF}"/>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29391" y="4556369"/>
              <a:ext cx="1817077" cy="3830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26420</xdr:colOff>
      <xdr:row>10</xdr:row>
      <xdr:rowOff>132452</xdr:rowOff>
    </xdr:from>
    <xdr:to>
      <xdr:col>3</xdr:col>
      <xdr:colOff>26420</xdr:colOff>
      <xdr:row>23</xdr:row>
      <xdr:rowOff>87821</xdr:rowOff>
    </xdr:to>
    <mc:AlternateContent xmlns:mc="http://schemas.openxmlformats.org/markup-compatibility/2006">
      <mc:Choice xmlns:a14="http://schemas.microsoft.com/office/drawing/2010/main" Requires="a14">
        <xdr:graphicFrame macro="">
          <xdr:nvGraphicFramePr>
            <xdr:cNvPr id="54" name="Product 1">
              <a:extLst>
                <a:ext uri="{FF2B5EF4-FFF2-40B4-BE49-F238E27FC236}">
                  <a16:creationId xmlns:a16="http://schemas.microsoft.com/office/drawing/2014/main" id="{72414E71-4326-45A8-A95D-F7E1F4D8CF4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6420" y="1988606"/>
              <a:ext cx="1817077" cy="2368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128426</xdr:colOff>
      <xdr:row>10</xdr:row>
      <xdr:rowOff>85616</xdr:rowOff>
    </xdr:from>
    <xdr:to>
      <xdr:col>10</xdr:col>
      <xdr:colOff>547954</xdr:colOff>
      <xdr:row>28</xdr:row>
      <xdr:rowOff>136989</xdr:rowOff>
    </xdr:to>
    <xdr:sp macro="" textlink="">
      <xdr:nvSpPr>
        <xdr:cNvPr id="55" name="Rectangle: Rounded Corners 54">
          <a:extLst>
            <a:ext uri="{FF2B5EF4-FFF2-40B4-BE49-F238E27FC236}">
              <a16:creationId xmlns:a16="http://schemas.microsoft.com/office/drawing/2014/main" id="{FC7566CC-027A-C48B-BDFD-99D8D1A3AD05}"/>
            </a:ext>
          </a:extLst>
        </xdr:cNvPr>
        <xdr:cNvSpPr/>
      </xdr:nvSpPr>
      <xdr:spPr>
        <a:xfrm>
          <a:off x="1952089" y="1883594"/>
          <a:ext cx="4674741" cy="328773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7030A0"/>
              </a:solidFill>
              <a:latin typeface="Bodoni MT" panose="02070603080606020203" pitchFamily="18" charset="0"/>
            </a:rPr>
            <a:t>Unit</a:t>
          </a:r>
          <a:r>
            <a:rPr lang="en-IN" sz="1400" baseline="0">
              <a:solidFill>
                <a:srgbClr val="7030A0"/>
              </a:solidFill>
              <a:latin typeface="Bodoni MT" panose="02070603080606020203" pitchFamily="18" charset="0"/>
            </a:rPr>
            <a:t> Sold by Product</a:t>
          </a:r>
          <a:endParaRPr lang="en-IN" sz="1600">
            <a:solidFill>
              <a:srgbClr val="7030A0"/>
            </a:solidFill>
            <a:latin typeface="Bodoni MT" panose="02070603080606020203" pitchFamily="18" charset="0"/>
          </a:endParaRPr>
        </a:p>
      </xdr:txBody>
    </xdr:sp>
    <xdr:clientData/>
  </xdr:twoCellAnchor>
  <xdr:twoCellAnchor>
    <xdr:from>
      <xdr:col>3</xdr:col>
      <xdr:colOff>419528</xdr:colOff>
      <xdr:row>13</xdr:row>
      <xdr:rowOff>85618</xdr:rowOff>
    </xdr:from>
    <xdr:to>
      <xdr:col>10</xdr:col>
      <xdr:colOff>273978</xdr:colOff>
      <xdr:row>27</xdr:row>
      <xdr:rowOff>34248</xdr:rowOff>
    </xdr:to>
    <xdr:graphicFrame macro="">
      <xdr:nvGraphicFramePr>
        <xdr:cNvPr id="56" name="Chart 55">
          <a:extLst>
            <a:ext uri="{FF2B5EF4-FFF2-40B4-BE49-F238E27FC236}">
              <a16:creationId xmlns:a16="http://schemas.microsoft.com/office/drawing/2014/main" id="{D234D1E9-1953-4624-9731-6007CACF2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419526</xdr:colOff>
      <xdr:row>10</xdr:row>
      <xdr:rowOff>94177</xdr:rowOff>
    </xdr:from>
    <xdr:to>
      <xdr:col>20</xdr:col>
      <xdr:colOff>590764</xdr:colOff>
      <xdr:row>28</xdr:row>
      <xdr:rowOff>145550</xdr:rowOff>
    </xdr:to>
    <xdr:sp macro="" textlink="">
      <xdr:nvSpPr>
        <xdr:cNvPr id="57" name="Rectangle: Rounded Corners 56">
          <a:extLst>
            <a:ext uri="{FF2B5EF4-FFF2-40B4-BE49-F238E27FC236}">
              <a16:creationId xmlns:a16="http://schemas.microsoft.com/office/drawing/2014/main" id="{5856E67D-AB04-CF98-0B62-69897DF016E6}"/>
            </a:ext>
          </a:extLst>
        </xdr:cNvPr>
        <xdr:cNvSpPr/>
      </xdr:nvSpPr>
      <xdr:spPr>
        <a:xfrm>
          <a:off x="7106290" y="1892155"/>
          <a:ext cx="5642227" cy="328773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7030A0"/>
              </a:solidFill>
              <a:latin typeface="Bodoni MT" panose="02070603080606020203" pitchFamily="18" charset="0"/>
            </a:rPr>
            <a:t>Total Sales by</a:t>
          </a:r>
          <a:r>
            <a:rPr lang="en-IN" sz="1400" baseline="0">
              <a:solidFill>
                <a:srgbClr val="7030A0"/>
              </a:solidFill>
              <a:latin typeface="Bodoni MT" panose="02070603080606020203" pitchFamily="18" charset="0"/>
            </a:rPr>
            <a:t> Region</a:t>
          </a:r>
          <a:endParaRPr lang="en-IN" sz="1600">
            <a:solidFill>
              <a:srgbClr val="7030A0"/>
            </a:solidFill>
            <a:latin typeface="Bodoni MT" panose="02070603080606020203" pitchFamily="18" charset="0"/>
          </a:endParaRPr>
        </a:p>
      </xdr:txBody>
    </xdr:sp>
    <xdr:clientData/>
  </xdr:twoCellAnchor>
  <xdr:twoCellAnchor>
    <xdr:from>
      <xdr:col>11</xdr:col>
      <xdr:colOff>94179</xdr:colOff>
      <xdr:row>29</xdr:row>
      <xdr:rowOff>85616</xdr:rowOff>
    </xdr:from>
    <xdr:to>
      <xdr:col>20</xdr:col>
      <xdr:colOff>590764</xdr:colOff>
      <xdr:row>47</xdr:row>
      <xdr:rowOff>136989</xdr:rowOff>
    </xdr:to>
    <xdr:sp macro="" textlink="">
      <xdr:nvSpPr>
        <xdr:cNvPr id="58" name="Rectangle: Rounded Corners 57">
          <a:extLst>
            <a:ext uri="{FF2B5EF4-FFF2-40B4-BE49-F238E27FC236}">
              <a16:creationId xmlns:a16="http://schemas.microsoft.com/office/drawing/2014/main" id="{235F1329-20C4-12FB-26C3-A607EBA71D9A}"/>
            </a:ext>
          </a:extLst>
        </xdr:cNvPr>
        <xdr:cNvSpPr/>
      </xdr:nvSpPr>
      <xdr:spPr>
        <a:xfrm>
          <a:off x="6780943" y="5299751"/>
          <a:ext cx="5967574" cy="328773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7030A0"/>
              </a:solidFill>
              <a:latin typeface="Bodoni MT" panose="02070603080606020203" pitchFamily="18" charset="0"/>
            </a:rPr>
            <a:t>Total</a:t>
          </a:r>
          <a:r>
            <a:rPr lang="en-IN" sz="1600" baseline="0">
              <a:solidFill>
                <a:srgbClr val="7030A0"/>
              </a:solidFill>
              <a:latin typeface="Bodoni MT" panose="02070603080606020203" pitchFamily="18" charset="0"/>
            </a:rPr>
            <a:t> Sales by Sales Person</a:t>
          </a:r>
          <a:endParaRPr lang="en-IN" sz="1600">
            <a:solidFill>
              <a:srgbClr val="7030A0"/>
            </a:solidFill>
            <a:latin typeface="Bodoni MT" panose="02070603080606020203" pitchFamily="18" charset="0"/>
          </a:endParaRPr>
        </a:p>
      </xdr:txBody>
    </xdr:sp>
    <xdr:clientData/>
  </xdr:twoCellAnchor>
  <xdr:twoCellAnchor>
    <xdr:from>
      <xdr:col>3</xdr:col>
      <xdr:colOff>94179</xdr:colOff>
      <xdr:row>29</xdr:row>
      <xdr:rowOff>77054</xdr:rowOff>
    </xdr:from>
    <xdr:to>
      <xdr:col>10</xdr:col>
      <xdr:colOff>513707</xdr:colOff>
      <xdr:row>47</xdr:row>
      <xdr:rowOff>128427</xdr:rowOff>
    </xdr:to>
    <xdr:sp macro="" textlink="">
      <xdr:nvSpPr>
        <xdr:cNvPr id="59" name="Rectangle: Rounded Corners 58">
          <a:extLst>
            <a:ext uri="{FF2B5EF4-FFF2-40B4-BE49-F238E27FC236}">
              <a16:creationId xmlns:a16="http://schemas.microsoft.com/office/drawing/2014/main" id="{C5EEFF9C-AEE2-841A-0CC9-A1B54D53CC44}"/>
            </a:ext>
          </a:extLst>
        </xdr:cNvPr>
        <xdr:cNvSpPr/>
      </xdr:nvSpPr>
      <xdr:spPr>
        <a:xfrm>
          <a:off x="1917842" y="5291189"/>
          <a:ext cx="4674741" cy="328773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7030A0"/>
              </a:solidFill>
              <a:latin typeface="Bodoni MT" panose="02070603080606020203" pitchFamily="18" charset="0"/>
            </a:rPr>
            <a:t>Total Sales by Product</a:t>
          </a:r>
          <a:endParaRPr lang="en-IN" sz="1600">
            <a:solidFill>
              <a:srgbClr val="7030A0"/>
            </a:solidFill>
            <a:latin typeface="Bodoni MT" panose="02070603080606020203" pitchFamily="18" charset="0"/>
          </a:endParaRPr>
        </a:p>
      </xdr:txBody>
    </xdr:sp>
    <xdr:clientData/>
  </xdr:twoCellAnchor>
  <xdr:twoCellAnchor>
    <xdr:from>
      <xdr:col>11</xdr:col>
      <xdr:colOff>590764</xdr:colOff>
      <xdr:row>13</xdr:row>
      <xdr:rowOff>136989</xdr:rowOff>
    </xdr:from>
    <xdr:to>
      <xdr:col>20</xdr:col>
      <xdr:colOff>379654</xdr:colOff>
      <xdr:row>27</xdr:row>
      <xdr:rowOff>136989</xdr:rowOff>
    </xdr:to>
    <xdr:graphicFrame macro="">
      <xdr:nvGraphicFramePr>
        <xdr:cNvPr id="60" name="Chart 59">
          <a:extLst>
            <a:ext uri="{FF2B5EF4-FFF2-40B4-BE49-F238E27FC236}">
              <a16:creationId xmlns:a16="http://schemas.microsoft.com/office/drawing/2014/main" id="{E4CBB479-EFFA-4F14-A0BD-43698AE79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222607</xdr:colOff>
      <xdr:row>32</xdr:row>
      <xdr:rowOff>85618</xdr:rowOff>
    </xdr:from>
    <xdr:to>
      <xdr:col>10</xdr:col>
      <xdr:colOff>410967</xdr:colOff>
      <xdr:row>46</xdr:row>
      <xdr:rowOff>71917</xdr:rowOff>
    </xdr:to>
    <xdr:graphicFrame macro="">
      <xdr:nvGraphicFramePr>
        <xdr:cNvPr id="61" name="Chart 60">
          <a:extLst>
            <a:ext uri="{FF2B5EF4-FFF2-40B4-BE49-F238E27FC236}">
              <a16:creationId xmlns:a16="http://schemas.microsoft.com/office/drawing/2014/main" id="{A0BC4C47-F590-4B92-B8A3-704058ED0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94179</xdr:colOff>
      <xdr:row>32</xdr:row>
      <xdr:rowOff>59933</xdr:rowOff>
    </xdr:from>
    <xdr:to>
      <xdr:col>20</xdr:col>
      <xdr:colOff>214045</xdr:colOff>
      <xdr:row>46</xdr:row>
      <xdr:rowOff>119864</xdr:rowOff>
    </xdr:to>
    <xdr:graphicFrame macro="">
      <xdr:nvGraphicFramePr>
        <xdr:cNvPr id="62" name="Chart 61">
          <a:extLst>
            <a:ext uri="{FF2B5EF4-FFF2-40B4-BE49-F238E27FC236}">
              <a16:creationId xmlns:a16="http://schemas.microsoft.com/office/drawing/2014/main" id="{088ADA89-EF91-4BD4-A10A-C00A962E7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IKA" refreshedDate="46265.096516087964" createdVersion="8" refreshedVersion="8" minRefreshableVersion="3" recordCount="50" xr:uid="{97FDC195-5336-4D97-B0AA-EC1B87747B3E}">
  <cacheSource type="worksheet">
    <worksheetSource name="Table1"/>
  </cacheSource>
  <cacheFields count="9">
    <cacheField name="Date" numFmtId="14">
      <sharedItems containsDate="1" containsMixedTypes="1" minDate="2020-01-10T00:00:00" maxDate="2021-10-09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2">
      <sharedItems containsSemiMixedTypes="0" containsString="0" containsNumber="1" containsInteger="1" minValue="600" maxValue="10000"/>
    </cacheField>
    <cacheField name="Cost of Goods" numFmtId="2">
      <sharedItems containsSemiMixedTypes="0" containsString="0" containsNumber="1" containsInteger="1" minValue="400" maxValue="7000"/>
    </cacheField>
    <cacheField name="Total Sales" numFmtId="2">
      <sharedItems containsSemiMixedTypes="0" containsString="0" containsNumber="1" containsInteger="1" minValue="34200" maxValue="1270000"/>
    </cacheField>
    <cacheField name="Profit" numFmtId="172">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012235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19-2021"/>
    <x v="0"/>
    <x v="0"/>
    <x v="0"/>
    <n v="84"/>
    <n v="6000"/>
    <n v="4000"/>
    <n v="504000"/>
    <n v="168000"/>
  </r>
  <r>
    <d v="2021-07-09T00:00:00"/>
    <x v="1"/>
    <x v="1"/>
    <x v="1"/>
    <n v="128"/>
    <n v="3500"/>
    <n v="2500"/>
    <n v="448000"/>
    <n v="128000"/>
  </r>
  <r>
    <d v="2021-03-02T00:00:00"/>
    <x v="2"/>
    <x v="2"/>
    <x v="2"/>
    <n v="136"/>
    <n v="1200"/>
    <n v="800"/>
    <n v="163200"/>
    <n v="54400"/>
  </r>
  <r>
    <d v="2020-11-09T00:00:00"/>
    <x v="3"/>
    <x v="3"/>
    <x v="3"/>
    <n v="91"/>
    <n v="1000"/>
    <n v="700"/>
    <n v="91000"/>
    <n v="27300"/>
  </r>
  <r>
    <s v="9-23-2021"/>
    <x v="4"/>
    <x v="0"/>
    <x v="4"/>
    <n v="110"/>
    <n v="4000"/>
    <n v="3000"/>
    <n v="440000"/>
    <n v="110000"/>
  </r>
  <r>
    <d v="2020-01-10T00:00:00"/>
    <x v="5"/>
    <x v="1"/>
    <x v="2"/>
    <n v="51"/>
    <n v="1200"/>
    <n v="800"/>
    <n v="61200"/>
    <n v="20400"/>
  </r>
  <r>
    <d v="2021-05-08T00:00:00"/>
    <x v="6"/>
    <x v="3"/>
    <x v="3"/>
    <n v="78"/>
    <n v="1000"/>
    <n v="700"/>
    <n v="78000"/>
    <n v="23400"/>
  </r>
  <r>
    <d v="2020-06-11T00:00:00"/>
    <x v="7"/>
    <x v="2"/>
    <x v="0"/>
    <n v="146"/>
    <n v="6000"/>
    <n v="4000"/>
    <n v="876000"/>
    <n v="292000"/>
  </r>
  <r>
    <s v="1-27-2021"/>
    <x v="8"/>
    <x v="0"/>
    <x v="5"/>
    <n v="101"/>
    <n v="600"/>
    <n v="400"/>
    <n v="60600"/>
    <n v="20200"/>
  </r>
  <r>
    <d v="2021-03-09T00:00:00"/>
    <x v="9"/>
    <x v="2"/>
    <x v="0"/>
    <n v="52"/>
    <n v="6000"/>
    <n v="4000"/>
    <n v="312000"/>
    <n v="104000"/>
  </r>
  <r>
    <s v="9-30-2021"/>
    <x v="9"/>
    <x v="1"/>
    <x v="2"/>
    <n v="55"/>
    <n v="1200"/>
    <n v="800"/>
    <n v="66000"/>
    <n v="22000"/>
  </r>
  <r>
    <d v="2020-10-09T00:00:00"/>
    <x v="9"/>
    <x v="2"/>
    <x v="3"/>
    <n v="137"/>
    <n v="1000"/>
    <n v="700"/>
    <n v="137000"/>
    <n v="41100"/>
  </r>
  <r>
    <s v="7-27-2021"/>
    <x v="7"/>
    <x v="2"/>
    <x v="1"/>
    <n v="96"/>
    <n v="3500"/>
    <n v="2500"/>
    <n v="336000"/>
    <n v="96000"/>
  </r>
  <r>
    <d v="2020-09-10T00:00:00"/>
    <x v="8"/>
    <x v="1"/>
    <x v="4"/>
    <n v="52"/>
    <n v="4000"/>
    <n v="3000"/>
    <n v="208000"/>
    <n v="52000"/>
  </r>
  <r>
    <d v="2021-06-04T00:00:00"/>
    <x v="3"/>
    <x v="0"/>
    <x v="1"/>
    <n v="76"/>
    <n v="3500"/>
    <n v="2500"/>
    <n v="266000"/>
    <n v="76000"/>
  </r>
  <r>
    <s v="6-15-2021"/>
    <x v="1"/>
    <x v="3"/>
    <x v="4"/>
    <n v="145"/>
    <n v="4000"/>
    <n v="3000"/>
    <n v="580000"/>
    <n v="145000"/>
  </r>
  <r>
    <d v="2020-09-09T00:00:00"/>
    <x v="0"/>
    <x v="2"/>
    <x v="5"/>
    <n v="83"/>
    <n v="600"/>
    <n v="400"/>
    <n v="49800"/>
    <n v="16600"/>
  </r>
  <r>
    <s v="8-13-2021"/>
    <x v="4"/>
    <x v="2"/>
    <x v="3"/>
    <n v="91"/>
    <n v="1000"/>
    <n v="700"/>
    <n v="91000"/>
    <n v="27300"/>
  </r>
  <r>
    <s v="8-27-2020"/>
    <x v="5"/>
    <x v="0"/>
    <x v="6"/>
    <n v="108"/>
    <n v="10000"/>
    <n v="7000"/>
    <n v="1080000"/>
    <n v="324000"/>
  </r>
  <r>
    <d v="2021-07-04T00:00:00"/>
    <x v="2"/>
    <x v="3"/>
    <x v="4"/>
    <n v="144"/>
    <n v="4000"/>
    <n v="3000"/>
    <n v="576000"/>
    <n v="144000"/>
  </r>
  <r>
    <d v="2020-08-06T00:00:00"/>
    <x v="4"/>
    <x v="2"/>
    <x v="5"/>
    <n v="92"/>
    <n v="600"/>
    <n v="400"/>
    <n v="55200"/>
    <n v="18400"/>
  </r>
  <r>
    <s v="12-21-2021"/>
    <x v="7"/>
    <x v="0"/>
    <x v="0"/>
    <n v="71"/>
    <n v="6000"/>
    <n v="4000"/>
    <n v="426000"/>
    <n v="142000"/>
  </r>
  <r>
    <d v="2021-10-08T00:00:00"/>
    <x v="0"/>
    <x v="1"/>
    <x v="5"/>
    <n v="103"/>
    <n v="600"/>
    <n v="400"/>
    <n v="61800"/>
    <n v="20600"/>
  </r>
  <r>
    <d v="2021-02-12T00:00:00"/>
    <x v="9"/>
    <x v="3"/>
    <x v="3"/>
    <n v="55"/>
    <n v="1000"/>
    <n v="700"/>
    <n v="55000"/>
    <n v="16500"/>
  </r>
  <r>
    <s v="8-30-2021"/>
    <x v="5"/>
    <x v="1"/>
    <x v="4"/>
    <n v="93"/>
    <n v="4000"/>
    <n v="3000"/>
    <n v="372000"/>
    <n v="93000"/>
  </r>
  <r>
    <s v="5-20-2020"/>
    <x v="2"/>
    <x v="2"/>
    <x v="5"/>
    <n v="143"/>
    <n v="600"/>
    <n v="400"/>
    <n v="85800"/>
    <n v="28600"/>
  </r>
  <r>
    <s v="9-13-2021"/>
    <x v="6"/>
    <x v="0"/>
    <x v="1"/>
    <n v="143"/>
    <n v="3500"/>
    <n v="2500"/>
    <n v="500500"/>
    <n v="143000"/>
  </r>
  <r>
    <s v="10-27-2021"/>
    <x v="8"/>
    <x v="3"/>
    <x v="5"/>
    <n v="99"/>
    <n v="600"/>
    <n v="400"/>
    <n v="59400"/>
    <n v="19800"/>
  </r>
  <r>
    <s v="12-22-2020"/>
    <x v="3"/>
    <x v="0"/>
    <x v="3"/>
    <n v="120"/>
    <n v="1000"/>
    <n v="700"/>
    <n v="120000"/>
    <n v="36000"/>
  </r>
  <r>
    <s v="7-28-2021"/>
    <x v="1"/>
    <x v="2"/>
    <x v="1"/>
    <n v="66"/>
    <n v="3500"/>
    <n v="2500"/>
    <n v="231000"/>
    <n v="66000"/>
  </r>
  <r>
    <s v="9-29-2020"/>
    <x v="8"/>
    <x v="3"/>
    <x v="2"/>
    <n v="88"/>
    <n v="1200"/>
    <n v="800"/>
    <n v="105600"/>
    <n v="35200"/>
  </r>
  <r>
    <s v="10-22-2020"/>
    <x v="3"/>
    <x v="1"/>
    <x v="6"/>
    <n v="127"/>
    <n v="10000"/>
    <n v="7000"/>
    <n v="1270000"/>
    <n v="381000"/>
  </r>
  <r>
    <s v="5-19-2020"/>
    <x v="4"/>
    <x v="0"/>
    <x v="4"/>
    <n v="67"/>
    <n v="4000"/>
    <n v="3000"/>
    <n v="268000"/>
    <n v="67000"/>
  </r>
  <r>
    <d v="2021-06-12T00:00:00"/>
    <x v="1"/>
    <x v="1"/>
    <x v="2"/>
    <n v="67"/>
    <n v="1200"/>
    <n v="800"/>
    <n v="80400"/>
    <n v="26800"/>
  </r>
  <r>
    <s v="8-26-2020"/>
    <x v="9"/>
    <x v="2"/>
    <x v="3"/>
    <n v="149"/>
    <n v="1000"/>
    <n v="700"/>
    <n v="149000"/>
    <n v="44700"/>
  </r>
  <r>
    <d v="2021-01-07T00:00:00"/>
    <x v="4"/>
    <x v="3"/>
    <x v="5"/>
    <n v="104"/>
    <n v="600"/>
    <n v="400"/>
    <n v="62400"/>
    <n v="20800"/>
  </r>
  <r>
    <s v="7-27-2021"/>
    <x v="7"/>
    <x v="0"/>
    <x v="5"/>
    <n v="57"/>
    <n v="600"/>
    <n v="400"/>
    <n v="34200"/>
    <n v="11400"/>
  </r>
  <r>
    <d v="2020-05-10T00:00:00"/>
    <x v="2"/>
    <x v="1"/>
    <x v="5"/>
    <n v="90"/>
    <n v="600"/>
    <n v="400"/>
    <n v="54000"/>
    <n v="18000"/>
  </r>
  <r>
    <d v="2020-02-09T00:00:00"/>
    <x v="5"/>
    <x v="2"/>
    <x v="5"/>
    <n v="67"/>
    <n v="600"/>
    <n v="400"/>
    <n v="40200"/>
    <n v="13400"/>
  </r>
  <r>
    <d v="2021-02-09T00:00:00"/>
    <x v="0"/>
    <x v="3"/>
    <x v="4"/>
    <n v="127"/>
    <n v="4000"/>
    <n v="3000"/>
    <n v="508000"/>
    <n v="127000"/>
  </r>
  <r>
    <s v="4-13-2021"/>
    <x v="5"/>
    <x v="0"/>
    <x v="3"/>
    <n v="108"/>
    <n v="1000"/>
    <n v="700"/>
    <n v="108000"/>
    <n v="32400"/>
  </r>
  <r>
    <d v="2021-06-05T00:00:00"/>
    <x v="2"/>
    <x v="1"/>
    <x v="1"/>
    <n v="66"/>
    <n v="3500"/>
    <n v="2500"/>
    <n v="231000"/>
    <n v="66000"/>
  </r>
  <r>
    <s v="1-15-2021"/>
    <x v="0"/>
    <x v="3"/>
    <x v="0"/>
    <n v="78"/>
    <n v="6000"/>
    <n v="4000"/>
    <n v="468000"/>
    <n v="156000"/>
  </r>
  <r>
    <s v="8-27-2020"/>
    <x v="7"/>
    <x v="2"/>
    <x v="3"/>
    <n v="69"/>
    <n v="1000"/>
    <n v="700"/>
    <n v="69000"/>
    <n v="20700"/>
  </r>
  <r>
    <d v="2021-05-02T00:00:00"/>
    <x v="4"/>
    <x v="0"/>
    <x v="2"/>
    <n v="59"/>
    <n v="1200"/>
    <n v="800"/>
    <n v="70800"/>
    <n v="23600"/>
  </r>
  <r>
    <s v="11-17-2021"/>
    <x v="9"/>
    <x v="2"/>
    <x v="5"/>
    <n v="109"/>
    <n v="600"/>
    <n v="400"/>
    <n v="65400"/>
    <n v="21800"/>
  </r>
  <r>
    <s v="12-28-2020"/>
    <x v="8"/>
    <x v="1"/>
    <x v="4"/>
    <n v="61"/>
    <n v="4000"/>
    <n v="3000"/>
    <n v="244000"/>
    <n v="61000"/>
  </r>
  <r>
    <s v="10-27-2021"/>
    <x v="4"/>
    <x v="3"/>
    <x v="5"/>
    <n v="130"/>
    <n v="600"/>
    <n v="400"/>
    <n v="78000"/>
    <n v="26000"/>
  </r>
  <r>
    <d v="2021-02-11T00:00:00"/>
    <x v="3"/>
    <x v="2"/>
    <x v="1"/>
    <n v="60"/>
    <n v="3500"/>
    <n v="2500"/>
    <n v="210000"/>
    <n v="60000"/>
  </r>
  <r>
    <d v="2020-07-05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2E3A6-46F1-416E-9C53-893F2B970C2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M14" firstHeaderRow="1" firstDataRow="1" firstDataCol="1"/>
  <pivotFields count="9">
    <pivotField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dataField="1" showAll="0"/>
    <pivotField numFmtId="172" showAll="0"/>
    <pivotField numFmtId="172" showAll="0"/>
    <pivotField numFmtId="172" showAll="0"/>
    <pivotField numFmtId="172" showAll="0"/>
  </pivotFields>
  <rowFields count="1">
    <field x="1"/>
  </rowFields>
  <rowItems count="11">
    <i>
      <x/>
    </i>
    <i>
      <x v="1"/>
    </i>
    <i>
      <x v="2"/>
    </i>
    <i>
      <x v="3"/>
    </i>
    <i>
      <x v="4"/>
    </i>
    <i>
      <x v="5"/>
    </i>
    <i>
      <x v="6"/>
    </i>
    <i>
      <x v="7"/>
    </i>
    <i>
      <x v="8"/>
    </i>
    <i>
      <x v="9"/>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B5533F-6999-43C9-9AE1-D78E5147A53D}"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14" firstHeaderRow="1" firstDataRow="1" firstDataCol="1"/>
  <pivotFields count="9">
    <pivotField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72" showAll="0"/>
    <pivotField numFmtId="172" showAll="0"/>
    <pivotField dataField="1" numFmtId="172" showAll="0"/>
    <pivotField numFmtId="172"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7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16D76B-E6F5-4F13-A972-A87A8B2A850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1"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72" showAll="0"/>
    <pivotField numFmtId="172" showAll="0"/>
    <pivotField dataField="1" numFmtId="172" showAll="0"/>
    <pivotField numFmtId="172" showAll="0"/>
  </pivotFields>
  <rowFields count="1">
    <field x="3"/>
  </rowFields>
  <rowItems count="8">
    <i>
      <x/>
    </i>
    <i>
      <x v="1"/>
    </i>
    <i>
      <x v="2"/>
    </i>
    <i>
      <x v="3"/>
    </i>
    <i>
      <x v="4"/>
    </i>
    <i>
      <x v="5"/>
    </i>
    <i>
      <x v="6"/>
    </i>
    <i t="grand">
      <x/>
    </i>
  </rowItems>
  <colItems count="1">
    <i/>
  </colItems>
  <dataFields count="1">
    <dataField name="Sum of Total Sales" fld="7" baseField="0" baseItem="0" numFmtId="17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2236F3-ECA6-4D95-9181-7AD99C641686}" name="Total sale by reg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9">
    <pivotField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72" showAll="0"/>
    <pivotField numFmtId="172" showAll="0"/>
    <pivotField dataField="1" numFmtId="172" showAll="0"/>
    <pivotField numFmtId="172" showAll="0"/>
  </pivotFields>
  <rowFields count="1">
    <field x="2"/>
  </rowFields>
  <rowItems count="5">
    <i>
      <x/>
    </i>
    <i>
      <x v="1"/>
    </i>
    <i>
      <x v="2"/>
    </i>
    <i>
      <x v="3"/>
    </i>
    <i t="grand">
      <x/>
    </i>
  </rowItems>
  <colItems count="1">
    <i/>
  </colItems>
  <dataFields count="1">
    <dataField name="Sum of Total Sales" fld="7" baseField="0" baseItem="0" numFmtId="17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 chart="13" format="12">
      <pivotArea type="data" outline="0" fieldPosition="0">
        <references count="2">
          <reference field="4294967294" count="1" selected="0">
            <x v="0"/>
          </reference>
          <reference field="2" count="1" selected="0">
            <x v="1"/>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 chart="1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88A6D26-FF86-484F-917A-6F833CF14A00}" sourceName="Sales Person">
  <pivotTables>
    <pivotTable tabId="2" name="Total sale by region"/>
    <pivotTable tabId="2" name="PivotTable2"/>
    <pivotTable tabId="2" name="PivotTable3"/>
    <pivotTable tabId="2" name="PivotTable4"/>
  </pivotTables>
  <data>
    <tabular pivotCacheId="1012235297">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9F9C3D-B80D-495A-B73B-F014DD5FA860}" sourceName="Region">
  <pivotTables>
    <pivotTable tabId="2" name="Total sale by region"/>
    <pivotTable tabId="2" name="PivotTable2"/>
    <pivotTable tabId="2" name="PivotTable3"/>
    <pivotTable tabId="2" name="PivotTable4"/>
  </pivotTables>
  <data>
    <tabular pivotCacheId="1012235297">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672D58-2467-4156-A213-85B923F6006B}" sourceName="Product">
  <pivotTables>
    <pivotTable tabId="2" name="Total sale by region"/>
    <pivotTable tabId="2" name="PivotTable2"/>
    <pivotTable tabId="2" name="PivotTable3"/>
    <pivotTable tabId="2" name="PivotTable4"/>
  </pivotTables>
  <data>
    <tabular pivotCacheId="1012235297">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EE671A52-D5D3-4493-B6F1-2CA60DF535E8}" cache="Slicer_Sales_Person" caption="Sales Person" rowHeight="234950"/>
  <slicer name="Region" xr10:uid="{1C66D364-FDFE-4941-9EC1-B28CA190C3F3}" cache="Slicer_Region" caption="Region" columnCount="2" showCaption="0" rowHeight="234950"/>
  <slicer name="Product" xr10:uid="{70831787-36C7-435B-988D-9E3FE589C506}"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70E10B9-6A79-4075-9479-55B26A145C50}" cache="Slicer_Sales_Person" caption="Sales Person" style="Slicer Style 4" rowHeight="234950"/>
  <slicer name="Region 1" xr10:uid="{B0D4A554-A0E6-4834-BE9C-533D3832C201}" cache="Slicer_Region" caption="Region" columnCount="2" showCaption="0" style="Slicer Style 4" rowHeight="234950"/>
  <slicer name="Product 1" xr10:uid="{45A2DE2C-F74D-4498-8ADC-F44AB41239DC}" cache="Slicer_Product" caption="Product"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B2FEAF-DED9-4F55-B020-7BB069128C59}" name="Table1" displayName="Table1" ref="A1:I51" totalsRowShown="0" headerRowDxfId="11" dataDxfId="10" tableBorderDxfId="9">
  <autoFilter ref="A1:I51" xr:uid="{BFB2FEAF-DED9-4F55-B020-7BB069128C59}"/>
  <tableColumns count="9">
    <tableColumn id="1" xr3:uid="{4774AF84-DFDA-4B0E-BA0F-2AEC7595D815}" name="Date" dataDxfId="8"/>
    <tableColumn id="2" xr3:uid="{B1842525-4EE7-4B07-A645-89DA83B6E7F7}" name="Sales Person" dataDxfId="7"/>
    <tableColumn id="3" xr3:uid="{E53CEBD5-0920-498B-B573-48A2543A49AE}" name="Region" dataDxfId="6"/>
    <tableColumn id="4" xr3:uid="{0C81CBC3-940C-49DF-BED4-36DF1178E98D}" name="Product" dataDxfId="5"/>
    <tableColumn id="5" xr3:uid="{9E50BDDA-3B1A-480A-B10E-F25B0D6E2431}" name="Units Sold" dataDxfId="4"/>
    <tableColumn id="6" xr3:uid="{0358F777-FE48-48D6-8B58-98A6D095BF03}" name="Unit Price" dataDxfId="3"/>
    <tableColumn id="7" xr3:uid="{0AE0DCCD-A702-4693-A989-E6AFB4954F16}" name="Cost of Goods" dataDxfId="2"/>
    <tableColumn id="8" xr3:uid="{64AD095A-D47D-4801-82CD-FE7EA5741A26}" name="Total Sales" dataDxfId="1"/>
    <tableColumn id="9" xr3:uid="{028F25D0-9DCB-4833-BD79-EA8649701CC0}"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05E2-9A5F-45E9-9D0D-47B3113D9852}">
  <dimension ref="A1:K51"/>
  <sheetViews>
    <sheetView workbookViewId="0">
      <selection activeCell="K40" sqref="K40"/>
    </sheetView>
  </sheetViews>
  <sheetFormatPr defaultColWidth="13.77734375" defaultRowHeight="14.4" x14ac:dyDescent="0.3"/>
  <cols>
    <col min="6" max="6" width="13.77734375" style="5"/>
    <col min="7" max="7" width="14.88671875" style="5" customWidth="1"/>
    <col min="8" max="9" width="13.77734375" style="5"/>
    <col min="11" max="11" width="15.33203125" style="6" bestFit="1" customWidth="1"/>
  </cols>
  <sheetData>
    <row r="1" spans="1:11" ht="25.2" customHeight="1" thickBot="1" x14ac:dyDescent="0.35">
      <c r="A1" s="10" t="s">
        <v>0</v>
      </c>
      <c r="B1" s="1" t="s">
        <v>1</v>
      </c>
      <c r="C1" s="1" t="s">
        <v>2</v>
      </c>
      <c r="D1" s="1" t="s">
        <v>3</v>
      </c>
      <c r="E1" s="1" t="s">
        <v>4</v>
      </c>
      <c r="F1" s="7" t="s">
        <v>5</v>
      </c>
      <c r="G1" s="7" t="s">
        <v>6</v>
      </c>
      <c r="H1" s="7" t="s">
        <v>7</v>
      </c>
      <c r="I1" s="4" t="s">
        <v>29</v>
      </c>
      <c r="K1" s="8" t="s">
        <v>30</v>
      </c>
    </row>
    <row r="2" spans="1:11" ht="15.6" thickTop="1" thickBot="1" x14ac:dyDescent="0.35">
      <c r="A2" s="11" t="s">
        <v>34</v>
      </c>
      <c r="B2" s="9" t="s">
        <v>8</v>
      </c>
      <c r="C2" s="9" t="s">
        <v>9</v>
      </c>
      <c r="D2" s="9" t="s">
        <v>10</v>
      </c>
      <c r="E2" s="2">
        <v>84</v>
      </c>
      <c r="F2" s="14">
        <v>6000</v>
      </c>
      <c r="G2" s="14">
        <v>4000</v>
      </c>
      <c r="H2" s="14">
        <v>504000</v>
      </c>
      <c r="I2" s="5">
        <f>H2-(G2*E2)</f>
        <v>168000</v>
      </c>
      <c r="K2" s="15">
        <f>SUM(H2:H51)</f>
        <v>12944500</v>
      </c>
    </row>
    <row r="3" spans="1:11" ht="15" thickBot="1" x14ac:dyDescent="0.35">
      <c r="A3" s="11">
        <v>44386</v>
      </c>
      <c r="B3" s="9" t="s">
        <v>11</v>
      </c>
      <c r="C3" s="9" t="s">
        <v>12</v>
      </c>
      <c r="D3" s="9" t="s">
        <v>13</v>
      </c>
      <c r="E3" s="2">
        <v>128</v>
      </c>
      <c r="F3" s="14">
        <v>3500</v>
      </c>
      <c r="G3" s="14">
        <v>2500</v>
      </c>
      <c r="H3" s="14">
        <v>448000</v>
      </c>
      <c r="I3" s="5">
        <f t="shared" ref="I3:I51" si="0">H3-(G3*E3)</f>
        <v>128000</v>
      </c>
      <c r="K3" s="8" t="s">
        <v>31</v>
      </c>
    </row>
    <row r="4" spans="1:11" ht="15" thickBot="1" x14ac:dyDescent="0.35">
      <c r="A4" s="11">
        <v>44257</v>
      </c>
      <c r="B4" s="9" t="s">
        <v>14</v>
      </c>
      <c r="C4" s="9" t="s">
        <v>15</v>
      </c>
      <c r="D4" s="9" t="s">
        <v>16</v>
      </c>
      <c r="E4" s="2">
        <v>136</v>
      </c>
      <c r="F4" s="14">
        <v>1200</v>
      </c>
      <c r="G4" s="14">
        <v>800</v>
      </c>
      <c r="H4" s="14">
        <v>163200</v>
      </c>
      <c r="I4" s="5">
        <f t="shared" si="0"/>
        <v>54400</v>
      </c>
      <c r="K4" s="6">
        <f>SUM(E2:E51)</f>
        <v>4705</v>
      </c>
    </row>
    <row r="5" spans="1:11" ht="15" thickBot="1" x14ac:dyDescent="0.35">
      <c r="A5" s="11">
        <v>44144</v>
      </c>
      <c r="B5" s="9" t="s">
        <v>17</v>
      </c>
      <c r="C5" s="9" t="s">
        <v>18</v>
      </c>
      <c r="D5" s="9" t="s">
        <v>19</v>
      </c>
      <c r="E5" s="2">
        <v>91</v>
      </c>
      <c r="F5" s="14">
        <v>1000</v>
      </c>
      <c r="G5" s="14">
        <v>700</v>
      </c>
      <c r="H5" s="14">
        <v>91000</v>
      </c>
      <c r="I5" s="5">
        <f t="shared" si="0"/>
        <v>27300</v>
      </c>
      <c r="K5" s="8" t="s">
        <v>32</v>
      </c>
    </row>
    <row r="6" spans="1:11" ht="15" thickBot="1" x14ac:dyDescent="0.35">
      <c r="A6" s="11" t="s">
        <v>35</v>
      </c>
      <c r="B6" s="9" t="s">
        <v>20</v>
      </c>
      <c r="C6" s="9" t="s">
        <v>9</v>
      </c>
      <c r="D6" s="9" t="s">
        <v>21</v>
      </c>
      <c r="E6" s="2">
        <v>110</v>
      </c>
      <c r="F6" s="14">
        <v>4000</v>
      </c>
      <c r="G6" s="14">
        <v>3000</v>
      </c>
      <c r="H6" s="14">
        <v>440000</v>
      </c>
      <c r="I6" s="5">
        <f t="shared" si="0"/>
        <v>110000</v>
      </c>
      <c r="K6" s="15">
        <f>SUM(I2:I51)</f>
        <v>3834400</v>
      </c>
    </row>
    <row r="7" spans="1:11" ht="15" thickBot="1" x14ac:dyDescent="0.35">
      <c r="A7" s="11">
        <v>43840</v>
      </c>
      <c r="B7" s="9" t="s">
        <v>22</v>
      </c>
      <c r="C7" s="9" t="s">
        <v>12</v>
      </c>
      <c r="D7" s="9" t="s">
        <v>16</v>
      </c>
      <c r="E7" s="2">
        <v>51</v>
      </c>
      <c r="F7" s="14">
        <v>1200</v>
      </c>
      <c r="G7" s="14">
        <v>800</v>
      </c>
      <c r="H7" s="14">
        <v>61200</v>
      </c>
      <c r="I7" s="5">
        <f t="shared" si="0"/>
        <v>20400</v>
      </c>
      <c r="K7" s="8" t="s">
        <v>33</v>
      </c>
    </row>
    <row r="8" spans="1:11" ht="15" thickBot="1" x14ac:dyDescent="0.35">
      <c r="A8" s="11">
        <v>44324</v>
      </c>
      <c r="B8" s="9" t="s">
        <v>23</v>
      </c>
      <c r="C8" s="9" t="s">
        <v>18</v>
      </c>
      <c r="D8" s="9" t="s">
        <v>19</v>
      </c>
      <c r="E8" s="2">
        <v>78</v>
      </c>
      <c r="F8" s="14">
        <v>1000</v>
      </c>
      <c r="G8" s="14">
        <v>700</v>
      </c>
      <c r="H8" s="14">
        <v>78000</v>
      </c>
      <c r="I8" s="5">
        <f t="shared" si="0"/>
        <v>23400</v>
      </c>
      <c r="K8" s="15">
        <f>AVERAGE(H2:H51)</f>
        <v>258890</v>
      </c>
    </row>
    <row r="9" spans="1:11" ht="15" thickBot="1" x14ac:dyDescent="0.35">
      <c r="A9" s="11">
        <v>43993</v>
      </c>
      <c r="B9" s="9" t="s">
        <v>24</v>
      </c>
      <c r="C9" s="9" t="s">
        <v>15</v>
      </c>
      <c r="D9" s="9" t="s">
        <v>10</v>
      </c>
      <c r="E9" s="2">
        <v>146</v>
      </c>
      <c r="F9" s="14">
        <v>6000</v>
      </c>
      <c r="G9" s="14">
        <v>4000</v>
      </c>
      <c r="H9" s="14">
        <v>876000</v>
      </c>
      <c r="I9" s="5">
        <f t="shared" si="0"/>
        <v>292000</v>
      </c>
    </row>
    <row r="10" spans="1:11" ht="15" thickBot="1" x14ac:dyDescent="0.35">
      <c r="A10" s="11" t="s">
        <v>36</v>
      </c>
      <c r="B10" s="9" t="s">
        <v>25</v>
      </c>
      <c r="C10" s="9" t="s">
        <v>9</v>
      </c>
      <c r="D10" s="9" t="s">
        <v>26</v>
      </c>
      <c r="E10" s="2">
        <v>101</v>
      </c>
      <c r="F10" s="14">
        <v>600</v>
      </c>
      <c r="G10" s="14">
        <v>400</v>
      </c>
      <c r="H10" s="14">
        <v>60600</v>
      </c>
      <c r="I10" s="5">
        <f t="shared" si="0"/>
        <v>20200</v>
      </c>
    </row>
    <row r="11" spans="1:11" ht="15" thickBot="1" x14ac:dyDescent="0.35">
      <c r="A11" s="11">
        <v>44264</v>
      </c>
      <c r="B11" s="9" t="s">
        <v>27</v>
      </c>
      <c r="C11" s="9" t="s">
        <v>15</v>
      </c>
      <c r="D11" s="9" t="s">
        <v>10</v>
      </c>
      <c r="E11" s="2">
        <v>52</v>
      </c>
      <c r="F11" s="14">
        <v>6000</v>
      </c>
      <c r="G11" s="14">
        <v>4000</v>
      </c>
      <c r="H11" s="14">
        <v>312000</v>
      </c>
      <c r="I11" s="5">
        <f t="shared" si="0"/>
        <v>104000</v>
      </c>
    </row>
    <row r="12" spans="1:11" ht="15" thickBot="1" x14ac:dyDescent="0.35">
      <c r="A12" s="11" t="s">
        <v>37</v>
      </c>
      <c r="B12" s="9" t="s">
        <v>27</v>
      </c>
      <c r="C12" s="9" t="s">
        <v>12</v>
      </c>
      <c r="D12" s="9" t="s">
        <v>16</v>
      </c>
      <c r="E12" s="2">
        <v>55</v>
      </c>
      <c r="F12" s="14">
        <v>1200</v>
      </c>
      <c r="G12" s="14">
        <v>800</v>
      </c>
      <c r="H12" s="14">
        <v>66000</v>
      </c>
      <c r="I12" s="5">
        <f t="shared" si="0"/>
        <v>22000</v>
      </c>
    </row>
    <row r="13" spans="1:11" ht="15" thickBot="1" x14ac:dyDescent="0.35">
      <c r="A13" s="11">
        <v>44113</v>
      </c>
      <c r="B13" s="9" t="s">
        <v>27</v>
      </c>
      <c r="C13" s="9" t="s">
        <v>15</v>
      </c>
      <c r="D13" s="9" t="s">
        <v>19</v>
      </c>
      <c r="E13" s="2">
        <v>137</v>
      </c>
      <c r="F13" s="14">
        <v>1000</v>
      </c>
      <c r="G13" s="14">
        <v>700</v>
      </c>
      <c r="H13" s="14">
        <v>137000</v>
      </c>
      <c r="I13" s="5">
        <f t="shared" si="0"/>
        <v>41100</v>
      </c>
    </row>
    <row r="14" spans="1:11" ht="15" thickBot="1" x14ac:dyDescent="0.35">
      <c r="A14" s="11" t="s">
        <v>38</v>
      </c>
      <c r="B14" s="9" t="s">
        <v>24</v>
      </c>
      <c r="C14" s="9" t="s">
        <v>15</v>
      </c>
      <c r="D14" s="9" t="s">
        <v>13</v>
      </c>
      <c r="E14" s="2">
        <v>96</v>
      </c>
      <c r="F14" s="14">
        <v>3500</v>
      </c>
      <c r="G14" s="14">
        <v>2500</v>
      </c>
      <c r="H14" s="14">
        <v>336000</v>
      </c>
      <c r="I14" s="5">
        <f t="shared" si="0"/>
        <v>96000</v>
      </c>
    </row>
    <row r="15" spans="1:11" ht="15" thickBot="1" x14ac:dyDescent="0.35">
      <c r="A15" s="11">
        <v>44084</v>
      </c>
      <c r="B15" s="9" t="s">
        <v>25</v>
      </c>
      <c r="C15" s="9" t="s">
        <v>12</v>
      </c>
      <c r="D15" s="9" t="s">
        <v>21</v>
      </c>
      <c r="E15" s="2">
        <v>52</v>
      </c>
      <c r="F15" s="14">
        <v>4000</v>
      </c>
      <c r="G15" s="14">
        <v>3000</v>
      </c>
      <c r="H15" s="14">
        <v>208000</v>
      </c>
      <c r="I15" s="5">
        <f t="shared" si="0"/>
        <v>52000</v>
      </c>
    </row>
    <row r="16" spans="1:11" ht="15" thickBot="1" x14ac:dyDescent="0.35">
      <c r="A16" s="11">
        <v>44351</v>
      </c>
      <c r="B16" s="9" t="s">
        <v>17</v>
      </c>
      <c r="C16" s="9" t="s">
        <v>9</v>
      </c>
      <c r="D16" s="9" t="s">
        <v>13</v>
      </c>
      <c r="E16" s="2">
        <v>76</v>
      </c>
      <c r="F16" s="14">
        <v>3500</v>
      </c>
      <c r="G16" s="14">
        <v>2500</v>
      </c>
      <c r="H16" s="14">
        <v>266000</v>
      </c>
      <c r="I16" s="5">
        <f t="shared" si="0"/>
        <v>76000</v>
      </c>
    </row>
    <row r="17" spans="1:9" ht="15" thickBot="1" x14ac:dyDescent="0.35">
      <c r="A17" s="11" t="s">
        <v>39</v>
      </c>
      <c r="B17" s="9" t="s">
        <v>11</v>
      </c>
      <c r="C17" s="9" t="s">
        <v>18</v>
      </c>
      <c r="D17" s="9" t="s">
        <v>21</v>
      </c>
      <c r="E17" s="2">
        <v>145</v>
      </c>
      <c r="F17" s="14">
        <v>4000</v>
      </c>
      <c r="G17" s="14">
        <v>3000</v>
      </c>
      <c r="H17" s="14">
        <v>580000</v>
      </c>
      <c r="I17" s="5">
        <f t="shared" si="0"/>
        <v>145000</v>
      </c>
    </row>
    <row r="18" spans="1:9" ht="15" thickBot="1" x14ac:dyDescent="0.35">
      <c r="A18" s="11">
        <v>44083</v>
      </c>
      <c r="B18" s="9" t="s">
        <v>8</v>
      </c>
      <c r="C18" s="9" t="s">
        <v>15</v>
      </c>
      <c r="D18" s="9" t="s">
        <v>26</v>
      </c>
      <c r="E18" s="2">
        <v>83</v>
      </c>
      <c r="F18" s="14">
        <v>600</v>
      </c>
      <c r="G18" s="14">
        <v>400</v>
      </c>
      <c r="H18" s="14">
        <v>49800</v>
      </c>
      <c r="I18" s="5">
        <f t="shared" si="0"/>
        <v>16600</v>
      </c>
    </row>
    <row r="19" spans="1:9" ht="15" thickBot="1" x14ac:dyDescent="0.35">
      <c r="A19" s="11" t="s">
        <v>40</v>
      </c>
      <c r="B19" s="9" t="s">
        <v>20</v>
      </c>
      <c r="C19" s="9" t="s">
        <v>15</v>
      </c>
      <c r="D19" s="9" t="s">
        <v>19</v>
      </c>
      <c r="E19" s="2">
        <v>91</v>
      </c>
      <c r="F19" s="14">
        <v>1000</v>
      </c>
      <c r="G19" s="14">
        <v>700</v>
      </c>
      <c r="H19" s="14">
        <v>91000</v>
      </c>
      <c r="I19" s="5">
        <f t="shared" si="0"/>
        <v>27300</v>
      </c>
    </row>
    <row r="20" spans="1:9" ht="15" thickBot="1" x14ac:dyDescent="0.35">
      <c r="A20" s="11" t="s">
        <v>41</v>
      </c>
      <c r="B20" s="9" t="s">
        <v>22</v>
      </c>
      <c r="C20" s="9" t="s">
        <v>9</v>
      </c>
      <c r="D20" s="9" t="s">
        <v>28</v>
      </c>
      <c r="E20" s="2">
        <v>108</v>
      </c>
      <c r="F20" s="14">
        <v>10000</v>
      </c>
      <c r="G20" s="14">
        <v>7000</v>
      </c>
      <c r="H20" s="14">
        <v>1080000</v>
      </c>
      <c r="I20" s="5">
        <f t="shared" si="0"/>
        <v>324000</v>
      </c>
    </row>
    <row r="21" spans="1:9" ht="15" thickBot="1" x14ac:dyDescent="0.35">
      <c r="A21" s="11">
        <v>44381</v>
      </c>
      <c r="B21" s="9" t="s">
        <v>14</v>
      </c>
      <c r="C21" s="9" t="s">
        <v>18</v>
      </c>
      <c r="D21" s="9" t="s">
        <v>21</v>
      </c>
      <c r="E21" s="2">
        <v>144</v>
      </c>
      <c r="F21" s="14">
        <v>4000</v>
      </c>
      <c r="G21" s="14">
        <v>3000</v>
      </c>
      <c r="H21" s="14">
        <v>576000</v>
      </c>
      <c r="I21" s="5">
        <f t="shared" si="0"/>
        <v>144000</v>
      </c>
    </row>
    <row r="22" spans="1:9" ht="15" thickBot="1" x14ac:dyDescent="0.35">
      <c r="A22" s="11">
        <v>44049</v>
      </c>
      <c r="B22" s="9" t="s">
        <v>20</v>
      </c>
      <c r="C22" s="9" t="s">
        <v>15</v>
      </c>
      <c r="D22" s="9" t="s">
        <v>26</v>
      </c>
      <c r="E22" s="2">
        <v>92</v>
      </c>
      <c r="F22" s="14">
        <v>600</v>
      </c>
      <c r="G22" s="14">
        <v>400</v>
      </c>
      <c r="H22" s="14">
        <v>55200</v>
      </c>
      <c r="I22" s="5">
        <f t="shared" si="0"/>
        <v>18400</v>
      </c>
    </row>
    <row r="23" spans="1:9" ht="15" thickBot="1" x14ac:dyDescent="0.35">
      <c r="A23" s="11" t="s">
        <v>42</v>
      </c>
      <c r="B23" s="9" t="s">
        <v>24</v>
      </c>
      <c r="C23" s="9" t="s">
        <v>9</v>
      </c>
      <c r="D23" s="9" t="s">
        <v>10</v>
      </c>
      <c r="E23" s="2">
        <v>71</v>
      </c>
      <c r="F23" s="14">
        <v>6000</v>
      </c>
      <c r="G23" s="14">
        <v>4000</v>
      </c>
      <c r="H23" s="14">
        <v>426000</v>
      </c>
      <c r="I23" s="5">
        <f t="shared" si="0"/>
        <v>142000</v>
      </c>
    </row>
    <row r="24" spans="1:9" ht="15" thickBot="1" x14ac:dyDescent="0.35">
      <c r="A24" s="11">
        <v>44477</v>
      </c>
      <c r="B24" s="9" t="s">
        <v>8</v>
      </c>
      <c r="C24" s="9" t="s">
        <v>12</v>
      </c>
      <c r="D24" s="9" t="s">
        <v>26</v>
      </c>
      <c r="E24" s="2">
        <v>103</v>
      </c>
      <c r="F24" s="14">
        <v>600</v>
      </c>
      <c r="G24" s="14">
        <v>400</v>
      </c>
      <c r="H24" s="14">
        <v>61800</v>
      </c>
      <c r="I24" s="5">
        <f t="shared" si="0"/>
        <v>20600</v>
      </c>
    </row>
    <row r="25" spans="1:9" ht="15" thickBot="1" x14ac:dyDescent="0.35">
      <c r="A25" s="11">
        <v>44239</v>
      </c>
      <c r="B25" s="9" t="s">
        <v>27</v>
      </c>
      <c r="C25" s="9" t="s">
        <v>18</v>
      </c>
      <c r="D25" s="9" t="s">
        <v>19</v>
      </c>
      <c r="E25" s="2">
        <v>55</v>
      </c>
      <c r="F25" s="14">
        <v>1000</v>
      </c>
      <c r="G25" s="14">
        <v>700</v>
      </c>
      <c r="H25" s="14">
        <v>55000</v>
      </c>
      <c r="I25" s="5">
        <f t="shared" si="0"/>
        <v>16500</v>
      </c>
    </row>
    <row r="26" spans="1:9" ht="15" thickBot="1" x14ac:dyDescent="0.35">
      <c r="A26" s="11" t="s">
        <v>43</v>
      </c>
      <c r="B26" s="9" t="s">
        <v>22</v>
      </c>
      <c r="C26" s="9" t="s">
        <v>12</v>
      </c>
      <c r="D26" s="9" t="s">
        <v>21</v>
      </c>
      <c r="E26" s="2">
        <v>93</v>
      </c>
      <c r="F26" s="14">
        <v>4000</v>
      </c>
      <c r="G26" s="14">
        <v>3000</v>
      </c>
      <c r="H26" s="14">
        <v>372000</v>
      </c>
      <c r="I26" s="5">
        <f t="shared" si="0"/>
        <v>93000</v>
      </c>
    </row>
    <row r="27" spans="1:9" ht="15" thickBot="1" x14ac:dyDescent="0.35">
      <c r="A27" s="11" t="s">
        <v>44</v>
      </c>
      <c r="B27" s="9" t="s">
        <v>14</v>
      </c>
      <c r="C27" s="9" t="s">
        <v>15</v>
      </c>
      <c r="D27" s="9" t="s">
        <v>26</v>
      </c>
      <c r="E27" s="2">
        <v>143</v>
      </c>
      <c r="F27" s="14">
        <v>600</v>
      </c>
      <c r="G27" s="14">
        <v>400</v>
      </c>
      <c r="H27" s="14">
        <v>85800</v>
      </c>
      <c r="I27" s="5">
        <f t="shared" si="0"/>
        <v>28600</v>
      </c>
    </row>
    <row r="28" spans="1:9" ht="15" thickBot="1" x14ac:dyDescent="0.35">
      <c r="A28" s="11" t="s">
        <v>45</v>
      </c>
      <c r="B28" s="9" t="s">
        <v>23</v>
      </c>
      <c r="C28" s="9" t="s">
        <v>9</v>
      </c>
      <c r="D28" s="9" t="s">
        <v>13</v>
      </c>
      <c r="E28" s="2">
        <v>143</v>
      </c>
      <c r="F28" s="14">
        <v>3500</v>
      </c>
      <c r="G28" s="14">
        <v>2500</v>
      </c>
      <c r="H28" s="14">
        <v>500500</v>
      </c>
      <c r="I28" s="5">
        <f>H28-(G28*E28)</f>
        <v>143000</v>
      </c>
    </row>
    <row r="29" spans="1:9" ht="15" thickBot="1" x14ac:dyDescent="0.35">
      <c r="A29" s="11" t="s">
        <v>46</v>
      </c>
      <c r="B29" s="9" t="s">
        <v>25</v>
      </c>
      <c r="C29" s="9" t="s">
        <v>18</v>
      </c>
      <c r="D29" s="9" t="s">
        <v>26</v>
      </c>
      <c r="E29" s="2">
        <v>99</v>
      </c>
      <c r="F29" s="14">
        <v>600</v>
      </c>
      <c r="G29" s="14">
        <v>400</v>
      </c>
      <c r="H29" s="14">
        <v>59400</v>
      </c>
      <c r="I29" s="5">
        <f t="shared" si="0"/>
        <v>19800</v>
      </c>
    </row>
    <row r="30" spans="1:9" ht="15" thickBot="1" x14ac:dyDescent="0.35">
      <c r="A30" s="11" t="s">
        <v>47</v>
      </c>
      <c r="B30" s="9" t="s">
        <v>17</v>
      </c>
      <c r="C30" s="9" t="s">
        <v>9</v>
      </c>
      <c r="D30" s="9" t="s">
        <v>19</v>
      </c>
      <c r="E30" s="2">
        <v>120</v>
      </c>
      <c r="F30" s="14">
        <v>1000</v>
      </c>
      <c r="G30" s="14">
        <v>700</v>
      </c>
      <c r="H30" s="14">
        <v>120000</v>
      </c>
      <c r="I30" s="5">
        <f t="shared" si="0"/>
        <v>36000</v>
      </c>
    </row>
    <row r="31" spans="1:9" ht="15" thickBot="1" x14ac:dyDescent="0.35">
      <c r="A31" s="11" t="s">
        <v>48</v>
      </c>
      <c r="B31" s="9" t="s">
        <v>11</v>
      </c>
      <c r="C31" s="9" t="s">
        <v>15</v>
      </c>
      <c r="D31" s="9" t="s">
        <v>13</v>
      </c>
      <c r="E31" s="2">
        <v>66</v>
      </c>
      <c r="F31" s="14">
        <v>3500</v>
      </c>
      <c r="G31" s="14">
        <v>2500</v>
      </c>
      <c r="H31" s="14">
        <v>231000</v>
      </c>
      <c r="I31" s="5">
        <f t="shared" si="0"/>
        <v>66000</v>
      </c>
    </row>
    <row r="32" spans="1:9" ht="15" thickBot="1" x14ac:dyDescent="0.35">
      <c r="A32" s="11" t="s">
        <v>49</v>
      </c>
      <c r="B32" s="9" t="s">
        <v>25</v>
      </c>
      <c r="C32" s="9" t="s">
        <v>18</v>
      </c>
      <c r="D32" s="9" t="s">
        <v>16</v>
      </c>
      <c r="E32" s="2">
        <v>88</v>
      </c>
      <c r="F32" s="14">
        <v>1200</v>
      </c>
      <c r="G32" s="14">
        <v>800</v>
      </c>
      <c r="H32" s="14">
        <v>105600</v>
      </c>
      <c r="I32" s="5">
        <f t="shared" si="0"/>
        <v>35200</v>
      </c>
    </row>
    <row r="33" spans="1:9" ht="15" thickBot="1" x14ac:dyDescent="0.35">
      <c r="A33" s="11" t="s">
        <v>50</v>
      </c>
      <c r="B33" s="9" t="s">
        <v>17</v>
      </c>
      <c r="C33" s="9" t="s">
        <v>12</v>
      </c>
      <c r="D33" s="9" t="s">
        <v>28</v>
      </c>
      <c r="E33" s="2">
        <v>127</v>
      </c>
      <c r="F33" s="14">
        <v>10000</v>
      </c>
      <c r="G33" s="14">
        <v>7000</v>
      </c>
      <c r="H33" s="14">
        <v>1270000</v>
      </c>
      <c r="I33" s="5">
        <f t="shared" si="0"/>
        <v>381000</v>
      </c>
    </row>
    <row r="34" spans="1:9" ht="15" thickBot="1" x14ac:dyDescent="0.35">
      <c r="A34" s="11" t="s">
        <v>51</v>
      </c>
      <c r="B34" s="9" t="s">
        <v>20</v>
      </c>
      <c r="C34" s="9" t="s">
        <v>9</v>
      </c>
      <c r="D34" s="9" t="s">
        <v>21</v>
      </c>
      <c r="E34" s="2">
        <v>67</v>
      </c>
      <c r="F34" s="14">
        <v>4000</v>
      </c>
      <c r="G34" s="14">
        <v>3000</v>
      </c>
      <c r="H34" s="14">
        <v>268000</v>
      </c>
      <c r="I34" s="5">
        <f t="shared" si="0"/>
        <v>67000</v>
      </c>
    </row>
    <row r="35" spans="1:9" ht="15" thickBot="1" x14ac:dyDescent="0.35">
      <c r="A35" s="11">
        <v>44359</v>
      </c>
      <c r="B35" s="9" t="s">
        <v>11</v>
      </c>
      <c r="C35" s="9" t="s">
        <v>12</v>
      </c>
      <c r="D35" s="9" t="s">
        <v>16</v>
      </c>
      <c r="E35" s="2">
        <v>67</v>
      </c>
      <c r="F35" s="14">
        <v>1200</v>
      </c>
      <c r="G35" s="14">
        <v>800</v>
      </c>
      <c r="H35" s="14">
        <v>80400</v>
      </c>
      <c r="I35" s="5">
        <f t="shared" si="0"/>
        <v>26800</v>
      </c>
    </row>
    <row r="36" spans="1:9" ht="15" thickBot="1" x14ac:dyDescent="0.35">
      <c r="A36" s="11" t="s">
        <v>52</v>
      </c>
      <c r="B36" s="9" t="s">
        <v>27</v>
      </c>
      <c r="C36" s="9" t="s">
        <v>15</v>
      </c>
      <c r="D36" s="9" t="s">
        <v>19</v>
      </c>
      <c r="E36" s="2">
        <v>149</v>
      </c>
      <c r="F36" s="14">
        <v>1000</v>
      </c>
      <c r="G36" s="14">
        <v>700</v>
      </c>
      <c r="H36" s="14">
        <v>149000</v>
      </c>
      <c r="I36" s="5">
        <f t="shared" si="0"/>
        <v>44700</v>
      </c>
    </row>
    <row r="37" spans="1:9" ht="15" thickBot="1" x14ac:dyDescent="0.35">
      <c r="A37" s="11">
        <v>44203</v>
      </c>
      <c r="B37" s="9" t="s">
        <v>20</v>
      </c>
      <c r="C37" s="9" t="s">
        <v>18</v>
      </c>
      <c r="D37" s="9" t="s">
        <v>26</v>
      </c>
      <c r="E37" s="2">
        <v>104</v>
      </c>
      <c r="F37" s="14">
        <v>600</v>
      </c>
      <c r="G37" s="14">
        <v>400</v>
      </c>
      <c r="H37" s="14">
        <v>62400</v>
      </c>
      <c r="I37" s="5">
        <f t="shared" si="0"/>
        <v>20800</v>
      </c>
    </row>
    <row r="38" spans="1:9" ht="15" thickBot="1" x14ac:dyDescent="0.35">
      <c r="A38" s="11" t="s">
        <v>38</v>
      </c>
      <c r="B38" s="9" t="s">
        <v>24</v>
      </c>
      <c r="C38" s="9" t="s">
        <v>9</v>
      </c>
      <c r="D38" s="9" t="s">
        <v>26</v>
      </c>
      <c r="E38" s="2">
        <v>57</v>
      </c>
      <c r="F38" s="14">
        <v>600</v>
      </c>
      <c r="G38" s="14">
        <v>400</v>
      </c>
      <c r="H38" s="14">
        <v>34200</v>
      </c>
      <c r="I38" s="5">
        <f t="shared" si="0"/>
        <v>11400</v>
      </c>
    </row>
    <row r="39" spans="1:9" ht="15" thickBot="1" x14ac:dyDescent="0.35">
      <c r="A39" s="11">
        <v>43961</v>
      </c>
      <c r="B39" s="9" t="s">
        <v>14</v>
      </c>
      <c r="C39" s="9" t="s">
        <v>12</v>
      </c>
      <c r="D39" s="9" t="s">
        <v>26</v>
      </c>
      <c r="E39" s="2">
        <v>90</v>
      </c>
      <c r="F39" s="14">
        <v>600</v>
      </c>
      <c r="G39" s="14">
        <v>400</v>
      </c>
      <c r="H39" s="14">
        <v>54000</v>
      </c>
      <c r="I39" s="5">
        <f t="shared" si="0"/>
        <v>18000</v>
      </c>
    </row>
    <row r="40" spans="1:9" ht="15" thickBot="1" x14ac:dyDescent="0.35">
      <c r="A40" s="11">
        <v>43870</v>
      </c>
      <c r="B40" s="9" t="s">
        <v>22</v>
      </c>
      <c r="C40" s="9" t="s">
        <v>15</v>
      </c>
      <c r="D40" s="9" t="s">
        <v>26</v>
      </c>
      <c r="E40" s="2">
        <v>67</v>
      </c>
      <c r="F40" s="14">
        <v>600</v>
      </c>
      <c r="G40" s="14">
        <v>400</v>
      </c>
      <c r="H40" s="14">
        <v>40200</v>
      </c>
      <c r="I40" s="5">
        <f t="shared" si="0"/>
        <v>13400</v>
      </c>
    </row>
    <row r="41" spans="1:9" ht="15" thickBot="1" x14ac:dyDescent="0.35">
      <c r="A41" s="11">
        <v>44236</v>
      </c>
      <c r="B41" s="9" t="s">
        <v>8</v>
      </c>
      <c r="C41" s="9" t="s">
        <v>18</v>
      </c>
      <c r="D41" s="9" t="s">
        <v>21</v>
      </c>
      <c r="E41" s="2">
        <v>127</v>
      </c>
      <c r="F41" s="14">
        <v>4000</v>
      </c>
      <c r="G41" s="14">
        <v>3000</v>
      </c>
      <c r="H41" s="14">
        <v>508000</v>
      </c>
      <c r="I41" s="5">
        <f t="shared" si="0"/>
        <v>127000</v>
      </c>
    </row>
    <row r="42" spans="1:9" ht="15" thickBot="1" x14ac:dyDescent="0.35">
      <c r="A42" s="11" t="s">
        <v>53</v>
      </c>
      <c r="B42" s="9" t="s">
        <v>22</v>
      </c>
      <c r="C42" s="9" t="s">
        <v>9</v>
      </c>
      <c r="D42" s="9" t="s">
        <v>19</v>
      </c>
      <c r="E42" s="2">
        <v>108</v>
      </c>
      <c r="F42" s="14">
        <v>1000</v>
      </c>
      <c r="G42" s="14">
        <v>700</v>
      </c>
      <c r="H42" s="14">
        <v>108000</v>
      </c>
      <c r="I42" s="5">
        <f t="shared" si="0"/>
        <v>32400</v>
      </c>
    </row>
    <row r="43" spans="1:9" ht="15" thickBot="1" x14ac:dyDescent="0.35">
      <c r="A43" s="11">
        <v>44352</v>
      </c>
      <c r="B43" s="9" t="s">
        <v>14</v>
      </c>
      <c r="C43" s="9" t="s">
        <v>12</v>
      </c>
      <c r="D43" s="9" t="s">
        <v>13</v>
      </c>
      <c r="E43" s="2">
        <v>66</v>
      </c>
      <c r="F43" s="14">
        <v>3500</v>
      </c>
      <c r="G43" s="14">
        <v>2500</v>
      </c>
      <c r="H43" s="14">
        <v>231000</v>
      </c>
      <c r="I43" s="5">
        <f>H43-(G43*E43)</f>
        <v>66000</v>
      </c>
    </row>
    <row r="44" spans="1:9" ht="15" thickBot="1" x14ac:dyDescent="0.35">
      <c r="A44" s="11" t="s">
        <v>54</v>
      </c>
      <c r="B44" s="9" t="s">
        <v>8</v>
      </c>
      <c r="C44" s="9" t="s">
        <v>18</v>
      </c>
      <c r="D44" s="9" t="s">
        <v>10</v>
      </c>
      <c r="E44" s="2">
        <v>78</v>
      </c>
      <c r="F44" s="14">
        <v>6000</v>
      </c>
      <c r="G44" s="14">
        <v>4000</v>
      </c>
      <c r="H44" s="14">
        <v>468000</v>
      </c>
      <c r="I44" s="5">
        <f t="shared" si="0"/>
        <v>156000</v>
      </c>
    </row>
    <row r="45" spans="1:9" ht="15" thickBot="1" x14ac:dyDescent="0.35">
      <c r="A45" s="11" t="s">
        <v>41</v>
      </c>
      <c r="B45" s="9" t="s">
        <v>24</v>
      </c>
      <c r="C45" s="9" t="s">
        <v>15</v>
      </c>
      <c r="D45" s="9" t="s">
        <v>19</v>
      </c>
      <c r="E45" s="2">
        <v>69</v>
      </c>
      <c r="F45" s="14">
        <v>1000</v>
      </c>
      <c r="G45" s="14">
        <v>700</v>
      </c>
      <c r="H45" s="14">
        <v>69000</v>
      </c>
      <c r="I45" s="5">
        <f t="shared" si="0"/>
        <v>20700</v>
      </c>
    </row>
    <row r="46" spans="1:9" ht="15" thickBot="1" x14ac:dyDescent="0.35">
      <c r="A46" s="11">
        <v>44318</v>
      </c>
      <c r="B46" s="9" t="s">
        <v>20</v>
      </c>
      <c r="C46" s="9" t="s">
        <v>9</v>
      </c>
      <c r="D46" s="9" t="s">
        <v>16</v>
      </c>
      <c r="E46" s="2">
        <v>59</v>
      </c>
      <c r="F46" s="14">
        <v>1200</v>
      </c>
      <c r="G46" s="14">
        <v>800</v>
      </c>
      <c r="H46" s="14">
        <v>70800</v>
      </c>
      <c r="I46" s="5">
        <f t="shared" si="0"/>
        <v>23600</v>
      </c>
    </row>
    <row r="47" spans="1:9" ht="15" thickBot="1" x14ac:dyDescent="0.35">
      <c r="A47" s="11" t="s">
        <v>55</v>
      </c>
      <c r="B47" s="9" t="s">
        <v>27</v>
      </c>
      <c r="C47" s="9" t="s">
        <v>15</v>
      </c>
      <c r="D47" s="9" t="s">
        <v>26</v>
      </c>
      <c r="E47" s="2">
        <v>109</v>
      </c>
      <c r="F47" s="14">
        <v>600</v>
      </c>
      <c r="G47" s="14">
        <v>400</v>
      </c>
      <c r="H47" s="14">
        <v>65400</v>
      </c>
      <c r="I47" s="5">
        <f t="shared" si="0"/>
        <v>21800</v>
      </c>
    </row>
    <row r="48" spans="1:9" ht="15" thickBot="1" x14ac:dyDescent="0.35">
      <c r="A48" s="11" t="s">
        <v>56</v>
      </c>
      <c r="B48" s="9" t="s">
        <v>25</v>
      </c>
      <c r="C48" s="9" t="s">
        <v>12</v>
      </c>
      <c r="D48" s="9" t="s">
        <v>21</v>
      </c>
      <c r="E48" s="2">
        <v>61</v>
      </c>
      <c r="F48" s="14">
        <v>4000</v>
      </c>
      <c r="G48" s="14">
        <v>3000</v>
      </c>
      <c r="H48" s="14">
        <v>244000</v>
      </c>
      <c r="I48" s="5">
        <f t="shared" si="0"/>
        <v>61000</v>
      </c>
    </row>
    <row r="49" spans="1:9" ht="15" thickBot="1" x14ac:dyDescent="0.35">
      <c r="A49" s="11" t="s">
        <v>46</v>
      </c>
      <c r="B49" s="9" t="s">
        <v>20</v>
      </c>
      <c r="C49" s="9" t="s">
        <v>18</v>
      </c>
      <c r="D49" s="9" t="s">
        <v>26</v>
      </c>
      <c r="E49" s="2">
        <v>130</v>
      </c>
      <c r="F49" s="14">
        <v>600</v>
      </c>
      <c r="G49" s="14">
        <v>400</v>
      </c>
      <c r="H49" s="14">
        <v>78000</v>
      </c>
      <c r="I49" s="5">
        <f t="shared" si="0"/>
        <v>26000</v>
      </c>
    </row>
    <row r="50" spans="1:9" ht="15" thickBot="1" x14ac:dyDescent="0.35">
      <c r="A50" s="11">
        <v>44238</v>
      </c>
      <c r="B50" s="9" t="s">
        <v>17</v>
      </c>
      <c r="C50" s="9" t="s">
        <v>15</v>
      </c>
      <c r="D50" s="9" t="s">
        <v>13</v>
      </c>
      <c r="E50" s="2">
        <v>60</v>
      </c>
      <c r="F50" s="14">
        <v>3500</v>
      </c>
      <c r="G50" s="14">
        <v>2500</v>
      </c>
      <c r="H50" s="14">
        <v>210000</v>
      </c>
      <c r="I50" s="5">
        <f t="shared" si="0"/>
        <v>60000</v>
      </c>
    </row>
    <row r="51" spans="1:9" ht="15" thickBot="1" x14ac:dyDescent="0.35">
      <c r="A51" s="11">
        <v>44017</v>
      </c>
      <c r="B51" s="9" t="s">
        <v>11</v>
      </c>
      <c r="C51" s="9" t="s">
        <v>12</v>
      </c>
      <c r="D51" s="9" t="s">
        <v>10</v>
      </c>
      <c r="E51" s="2">
        <v>73</v>
      </c>
      <c r="F51" s="14">
        <v>6000</v>
      </c>
      <c r="G51" s="14">
        <v>4000</v>
      </c>
      <c r="H51" s="14">
        <v>438000</v>
      </c>
      <c r="I51" s="5">
        <f t="shared" si="0"/>
        <v>146000</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FD080-A422-45C9-A734-738F7BD8C29E}">
  <dimension ref="A3:M14"/>
  <sheetViews>
    <sheetView workbookViewId="0">
      <selection activeCell="AA14" sqref="AA14"/>
    </sheetView>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8" max="8" width="12.5546875" bestFit="1" customWidth="1"/>
    <col min="9" max="9" width="16.44140625" bestFit="1" customWidth="1"/>
    <col min="12" max="12" width="12.5546875" bestFit="1" customWidth="1"/>
    <col min="13" max="13" width="16" bestFit="1" customWidth="1"/>
  </cols>
  <sheetData>
    <row r="3" spans="1:13" x14ac:dyDescent="0.3">
      <c r="A3" s="12" t="s">
        <v>57</v>
      </c>
      <c r="B3" t="s">
        <v>59</v>
      </c>
      <c r="D3" s="12" t="s">
        <v>57</v>
      </c>
      <c r="E3" t="s">
        <v>59</v>
      </c>
      <c r="H3" s="12" t="s">
        <v>57</v>
      </c>
      <c r="I3" t="s">
        <v>59</v>
      </c>
      <c r="L3" s="12" t="s">
        <v>57</v>
      </c>
      <c r="M3" t="s">
        <v>60</v>
      </c>
    </row>
    <row r="4" spans="1:13" x14ac:dyDescent="0.3">
      <c r="A4" s="13" t="s">
        <v>12</v>
      </c>
      <c r="B4" s="5">
        <v>3534400</v>
      </c>
      <c r="D4" s="13" t="s">
        <v>16</v>
      </c>
      <c r="E4" s="5">
        <v>547200</v>
      </c>
      <c r="H4" s="13" t="s">
        <v>8</v>
      </c>
      <c r="I4" s="5">
        <v>1591600</v>
      </c>
      <c r="L4" s="13" t="s">
        <v>8</v>
      </c>
      <c r="M4" s="3">
        <v>475</v>
      </c>
    </row>
    <row r="5" spans="1:13" x14ac:dyDescent="0.3">
      <c r="A5" s="13" t="s">
        <v>18</v>
      </c>
      <c r="B5" s="5">
        <v>2661400</v>
      </c>
      <c r="D5" s="13" t="s">
        <v>13</v>
      </c>
      <c r="E5" s="5">
        <v>2222500</v>
      </c>
      <c r="H5" s="13" t="s">
        <v>25</v>
      </c>
      <c r="I5" s="5">
        <v>677600</v>
      </c>
      <c r="L5" s="13" t="s">
        <v>25</v>
      </c>
      <c r="M5" s="3">
        <v>401</v>
      </c>
    </row>
    <row r="6" spans="1:13" x14ac:dyDescent="0.3">
      <c r="A6" s="13" t="s">
        <v>15</v>
      </c>
      <c r="B6" s="5">
        <v>2870600</v>
      </c>
      <c r="D6" s="13" t="s">
        <v>26</v>
      </c>
      <c r="E6" s="5">
        <v>706800</v>
      </c>
      <c r="H6" s="13" t="s">
        <v>17</v>
      </c>
      <c r="I6" s="5">
        <v>1957000</v>
      </c>
      <c r="L6" s="13" t="s">
        <v>17</v>
      </c>
      <c r="M6" s="3">
        <v>474</v>
      </c>
    </row>
    <row r="7" spans="1:13" x14ac:dyDescent="0.3">
      <c r="A7" s="13" t="s">
        <v>9</v>
      </c>
      <c r="B7" s="5">
        <v>3878100</v>
      </c>
      <c r="D7" s="13" t="s">
        <v>19</v>
      </c>
      <c r="E7" s="5">
        <v>898000</v>
      </c>
      <c r="H7" s="13" t="s">
        <v>22</v>
      </c>
      <c r="I7" s="5">
        <v>1661400</v>
      </c>
      <c r="L7" s="13" t="s">
        <v>22</v>
      </c>
      <c r="M7" s="3">
        <v>427</v>
      </c>
    </row>
    <row r="8" spans="1:13" x14ac:dyDescent="0.3">
      <c r="A8" s="13" t="s">
        <v>58</v>
      </c>
      <c r="B8" s="5">
        <v>12944500</v>
      </c>
      <c r="D8" s="13" t="s">
        <v>28</v>
      </c>
      <c r="E8" s="5">
        <v>2350000</v>
      </c>
      <c r="H8" s="13" t="s">
        <v>24</v>
      </c>
      <c r="I8" s="5">
        <v>1741200</v>
      </c>
      <c r="L8" s="13" t="s">
        <v>24</v>
      </c>
      <c r="M8" s="3">
        <v>439</v>
      </c>
    </row>
    <row r="9" spans="1:13" x14ac:dyDescent="0.3">
      <c r="D9" s="13" t="s">
        <v>21</v>
      </c>
      <c r="E9" s="5">
        <v>3196000</v>
      </c>
      <c r="H9" s="13" t="s">
        <v>14</v>
      </c>
      <c r="I9" s="5">
        <v>1110000</v>
      </c>
      <c r="L9" s="13" t="s">
        <v>14</v>
      </c>
      <c r="M9" s="3">
        <v>579</v>
      </c>
    </row>
    <row r="10" spans="1:13" x14ac:dyDescent="0.3">
      <c r="D10" s="13" t="s">
        <v>10</v>
      </c>
      <c r="E10" s="5">
        <v>3024000</v>
      </c>
      <c r="H10" s="13" t="s">
        <v>11</v>
      </c>
      <c r="I10" s="5">
        <v>1777400</v>
      </c>
      <c r="L10" s="13" t="s">
        <v>11</v>
      </c>
      <c r="M10" s="3">
        <v>479</v>
      </c>
    </row>
    <row r="11" spans="1:13" x14ac:dyDescent="0.3">
      <c r="D11" s="13" t="s">
        <v>58</v>
      </c>
      <c r="E11" s="5">
        <v>12944500</v>
      </c>
      <c r="H11" s="13" t="s">
        <v>20</v>
      </c>
      <c r="I11" s="5">
        <v>1065400</v>
      </c>
      <c r="L11" s="13" t="s">
        <v>20</v>
      </c>
      <c r="M11" s="3">
        <v>653</v>
      </c>
    </row>
    <row r="12" spans="1:13" x14ac:dyDescent="0.3">
      <c r="H12" s="13" t="s">
        <v>27</v>
      </c>
      <c r="I12" s="5">
        <v>784400</v>
      </c>
      <c r="L12" s="13" t="s">
        <v>27</v>
      </c>
      <c r="M12" s="3">
        <v>557</v>
      </c>
    </row>
    <row r="13" spans="1:13" x14ac:dyDescent="0.3">
      <c r="H13" s="13" t="s">
        <v>23</v>
      </c>
      <c r="I13" s="5">
        <v>578500</v>
      </c>
      <c r="L13" s="13" t="s">
        <v>23</v>
      </c>
      <c r="M13" s="3">
        <v>221</v>
      </c>
    </row>
    <row r="14" spans="1:13" x14ac:dyDescent="0.3">
      <c r="H14" s="13" t="s">
        <v>58</v>
      </c>
      <c r="I14" s="5">
        <v>12944500</v>
      </c>
      <c r="L14" s="13" t="s">
        <v>58</v>
      </c>
      <c r="M14" s="3">
        <v>4705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5A16C-5894-410B-A951-B660D108515C}">
  <dimension ref="A1"/>
  <sheetViews>
    <sheetView tabSelected="1" zoomScale="78" workbookViewId="0">
      <selection activeCell="AC23" sqref="AC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deepikaravindran1801@gmail.com</dc:creator>
  <cp:lastModifiedBy>deepikaravindran1801@gmail.com</cp:lastModifiedBy>
  <dcterms:created xsi:type="dcterms:W3CDTF">2026-08-30T14:10:45Z</dcterms:created>
  <dcterms:modified xsi:type="dcterms:W3CDTF">2026-08-30T20:49:59Z</dcterms:modified>
</cp:coreProperties>
</file>